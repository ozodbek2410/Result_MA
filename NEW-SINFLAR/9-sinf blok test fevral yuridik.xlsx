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G10" i="1" s="1"/>
  <c r="F8" i="1"/>
  <c r="G8" i="1" s="1"/>
  <c r="F29" i="1"/>
  <c r="G29" i="1" s="1"/>
  <c r="F26" i="1"/>
  <c r="G26" i="1" s="1"/>
  <c r="F21" i="1"/>
  <c r="G21" i="1" s="1"/>
  <c r="F22" i="1"/>
  <c r="G22" i="1" s="1"/>
  <c r="F34" i="1"/>
  <c r="G34" i="1" s="1"/>
  <c r="F27" i="1"/>
  <c r="G27" i="1" s="1"/>
  <c r="F33" i="1"/>
  <c r="G33" i="1" s="1"/>
  <c r="F35" i="1"/>
  <c r="G35" i="1" s="1"/>
  <c r="F23" i="1"/>
  <c r="G23" i="1" s="1"/>
  <c r="F7" i="1"/>
  <c r="G7" i="1" s="1"/>
  <c r="F14" i="1"/>
  <c r="G14" i="1" s="1"/>
  <c r="F24" i="1"/>
  <c r="G24" i="1" s="1"/>
  <c r="F20" i="1"/>
  <c r="G20" i="1" s="1"/>
  <c r="F13" i="1"/>
  <c r="G13" i="1" s="1"/>
  <c r="F5" i="1"/>
  <c r="G5" i="1" s="1"/>
  <c r="F16" i="1"/>
  <c r="G16" i="1" s="1"/>
  <c r="F19" i="1"/>
  <c r="G19" i="1" s="1"/>
  <c r="F32" i="1"/>
  <c r="G32" i="1" s="1"/>
  <c r="F2" i="1"/>
  <c r="G2" i="1" s="1"/>
  <c r="F31" i="1"/>
  <c r="G31" i="1" s="1"/>
  <c r="F12" i="1"/>
  <c r="G12" i="1" s="1"/>
  <c r="F9" i="1"/>
  <c r="G9" i="1" s="1"/>
  <c r="F11" i="1"/>
  <c r="G11" i="1" s="1"/>
  <c r="F3" i="1"/>
  <c r="G3" i="1" s="1"/>
  <c r="F28" i="1"/>
  <c r="G28" i="1" s="1"/>
  <c r="F4" i="1"/>
  <c r="G4" i="1" s="1"/>
  <c r="F30" i="1"/>
  <c r="G30" i="1" s="1"/>
  <c r="F25" i="1"/>
  <c r="G25" i="1" s="1"/>
  <c r="F36" i="1"/>
  <c r="G36" i="1" s="1"/>
  <c r="F15" i="1"/>
  <c r="G15" i="1" s="1"/>
  <c r="F18" i="1"/>
  <c r="G18" i="1" s="1"/>
  <c r="F17" i="1"/>
  <c r="G17" i="1" s="1"/>
  <c r="F6" i="1"/>
  <c r="G6" i="1" s="1"/>
</calcChain>
</file>

<file path=xl/sharedStrings.xml><?xml version="1.0" encoding="utf-8"?>
<sst xmlns="http://schemas.openxmlformats.org/spreadsheetml/2006/main" count="38" uniqueCount="38">
  <si>
    <t>t/r</t>
  </si>
  <si>
    <t>F.I.O</t>
  </si>
  <si>
    <t>foizi</t>
  </si>
  <si>
    <t xml:space="preserve">Sohibjonova Shafiqa </t>
  </si>
  <si>
    <t xml:space="preserve">Ixtiyorov Javohir </t>
  </si>
  <si>
    <t xml:space="preserve">Shonazarov Shahriyor </t>
  </si>
  <si>
    <t xml:space="preserve">Umurova Sevinch </t>
  </si>
  <si>
    <t xml:space="preserve">Muzrofov Javohir </t>
  </si>
  <si>
    <t xml:space="preserve">Ochilova  E'zozaxon </t>
  </si>
  <si>
    <t xml:space="preserve">Ravshan Sobirov </t>
  </si>
  <si>
    <t xml:space="preserve">Sagdiyev Abdulloh </t>
  </si>
  <si>
    <t xml:space="preserve">Jo'rayev Javohir </t>
  </si>
  <si>
    <t xml:space="preserve">Nizomov Ulug'bek </t>
  </si>
  <si>
    <t xml:space="preserve">Aminov Elbek </t>
  </si>
  <si>
    <t xml:space="preserve">Rahmonov Javohir </t>
  </si>
  <si>
    <t xml:space="preserve">Fatullayev Alisher </t>
  </si>
  <si>
    <t xml:space="preserve">Niyozov Ozodbek </t>
  </si>
  <si>
    <t xml:space="preserve">Shavkatov Shamshodbek  </t>
  </si>
  <si>
    <t xml:space="preserve">Husenova Mehrangiz </t>
  </si>
  <si>
    <t xml:space="preserve">Islomov Islombek </t>
  </si>
  <si>
    <t xml:space="preserve">Axmedov Firdavs </t>
  </si>
  <si>
    <t xml:space="preserve">Ibodullayeva Marjona </t>
  </si>
  <si>
    <t xml:space="preserve">Abdurazzoqov Muhammadjon </t>
  </si>
  <si>
    <t xml:space="preserve">Ibrohimov Asadbek </t>
  </si>
  <si>
    <t xml:space="preserve">Kenjayeva Ruxshona </t>
  </si>
  <si>
    <t xml:space="preserve">Faxriddinov Xushnud </t>
  </si>
  <si>
    <t xml:space="preserve">Qurbonov Shohruh </t>
  </si>
  <si>
    <t xml:space="preserve">Abdullayev Bekzod </t>
  </si>
  <si>
    <t xml:space="preserve">Jalolov Javohir </t>
  </si>
  <si>
    <t xml:space="preserve">Artikova Malika </t>
  </si>
  <si>
    <t xml:space="preserve">G'ulomov Afruzbek </t>
  </si>
  <si>
    <t xml:space="preserve">Fozilov Fuzaylxon </t>
  </si>
  <si>
    <t xml:space="preserve">Qo'shshayev Muhammadali </t>
  </si>
  <si>
    <t xml:space="preserve">Egamqulov Og'abek </t>
  </si>
  <si>
    <t xml:space="preserve">Valiyev Firdavs </t>
  </si>
  <si>
    <t xml:space="preserve">Xudoyberdiyev Behruz </t>
  </si>
  <si>
    <t xml:space="preserve">Usmonov Farrux </t>
  </si>
  <si>
    <t xml:space="preserve">Vohidov Behruz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</si>
</sst>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zoomScale="62" zoomScaleNormal="62" workbookViewId="0">
      <selection activeCell="B1" sqref="B1:G36"/>
    </sheetView>
  </sheetViews>
  <sheetFormatPr defaultRowHeight="14.4" x14ac:dyDescent="0.3"/>
  <cols>
    <col min="1" max="1" width="6.88671875" customWidth="1"/>
    <col min="2" max="2" width="36.88671875" customWidth="1"/>
  </cols>
  <sheetData>
    <row r="1" spans="1:7" ht="18" x14ac:dyDescent="0.35">
      <c r="A1" s="1" t="s">
        <v>0</v>
      </c>
      <c r="B1" s="1" t="s">
        <v>1</v>
      </c>
      <c r="C1" s="2">
        <v>30</v>
      </c>
      <c r="D1" s="2">
        <v>30</v>
      </c>
      <c r="E1" s="3">
        <v>30</v>
      </c>
      <c r="F1" s="4">
        <v>189</v>
      </c>
      <c r="G1" s="4" t="s">
        <v>2</v>
      </c>
    </row>
    <row r="2" spans="1:7" ht="18" x14ac:dyDescent="0.35">
      <c r="A2" s="5">
        <v>1</v>
      </c>
      <c r="B2" s="2" t="s">
        <v>17</v>
      </c>
      <c r="C2" s="2">
        <v>25</v>
      </c>
      <c r="D2" s="4">
        <v>19</v>
      </c>
      <c r="E2" s="4">
        <v>23</v>
      </c>
      <c r="F2" s="7">
        <f>(C2*3.1+D2*2.1+E2*1.1)</f>
        <v>142.70000000000002</v>
      </c>
      <c r="G2" s="8">
        <f>F2/189</f>
        <v>0.75502645502645516</v>
      </c>
    </row>
    <row r="3" spans="1:7" ht="18" x14ac:dyDescent="0.35">
      <c r="A3" s="5">
        <v>2</v>
      </c>
      <c r="B3" s="2" t="s">
        <v>12</v>
      </c>
      <c r="C3" s="2">
        <v>23</v>
      </c>
      <c r="D3" s="4">
        <v>23</v>
      </c>
      <c r="E3" s="4">
        <v>20</v>
      </c>
      <c r="F3" s="7">
        <f>(C3*3.1+D3*2.1+E3*1.1)</f>
        <v>141.6</v>
      </c>
      <c r="G3" s="8">
        <f>F3/189</f>
        <v>0.74920634920634921</v>
      </c>
    </row>
    <row r="4" spans="1:7" ht="18" x14ac:dyDescent="0.35">
      <c r="A4" s="5">
        <v>3</v>
      </c>
      <c r="B4" s="2" t="s">
        <v>10</v>
      </c>
      <c r="C4" s="4">
        <v>22</v>
      </c>
      <c r="D4" s="4">
        <v>23</v>
      </c>
      <c r="E4" s="4">
        <v>20</v>
      </c>
      <c r="F4" s="7">
        <f>(C4*3.1+D4*2.1+E4*1.1)</f>
        <v>138.5</v>
      </c>
      <c r="G4" s="8">
        <f>F4/189</f>
        <v>0.73280423280423279</v>
      </c>
    </row>
    <row r="5" spans="1:7" ht="18" x14ac:dyDescent="0.35">
      <c r="A5" s="5">
        <v>4</v>
      </c>
      <c r="B5" s="2" t="s">
        <v>21</v>
      </c>
      <c r="C5" s="2">
        <v>20</v>
      </c>
      <c r="D5" s="4">
        <v>24</v>
      </c>
      <c r="E5" s="4">
        <v>23</v>
      </c>
      <c r="F5" s="7">
        <f>(C5*3.1+D5*2.1+E5*1.1)</f>
        <v>137.70000000000002</v>
      </c>
      <c r="G5" s="8">
        <f>F5/189</f>
        <v>0.72857142857142865</v>
      </c>
    </row>
    <row r="6" spans="1:7" ht="18" x14ac:dyDescent="0.35">
      <c r="A6" s="5">
        <v>5</v>
      </c>
      <c r="B6" s="6" t="s">
        <v>3</v>
      </c>
      <c r="C6" s="6">
        <v>22</v>
      </c>
      <c r="D6" s="4">
        <v>21</v>
      </c>
      <c r="E6" s="4">
        <v>23</v>
      </c>
      <c r="F6" s="7">
        <f>(C6*3.1+D6*2.1+E6*1.1)</f>
        <v>137.60000000000002</v>
      </c>
      <c r="G6" s="8">
        <f>F6/189</f>
        <v>0.72804232804232816</v>
      </c>
    </row>
    <row r="7" spans="1:7" ht="18" x14ac:dyDescent="0.35">
      <c r="A7" s="5">
        <v>6</v>
      </c>
      <c r="B7" s="2" t="s">
        <v>26</v>
      </c>
      <c r="C7" s="2">
        <v>22</v>
      </c>
      <c r="D7" s="4">
        <v>26</v>
      </c>
      <c r="E7" s="4">
        <v>13</v>
      </c>
      <c r="F7" s="7">
        <f>(C7*3.1+D7*2.1+E7*1.1)</f>
        <v>137.10000000000002</v>
      </c>
      <c r="G7" s="8">
        <f>F7/189</f>
        <v>0.72539682539682548</v>
      </c>
    </row>
    <row r="8" spans="1:7" ht="18" x14ac:dyDescent="0.35">
      <c r="A8" s="5">
        <v>7</v>
      </c>
      <c r="B8" s="2" t="s">
        <v>37</v>
      </c>
      <c r="C8" s="2">
        <v>18</v>
      </c>
      <c r="D8" s="4">
        <v>27</v>
      </c>
      <c r="E8" s="4">
        <v>21</v>
      </c>
      <c r="F8" s="7">
        <f>(C8*3.1+D8*2.1+E8*1.1)</f>
        <v>135.6</v>
      </c>
      <c r="G8" s="8">
        <f>F8/189</f>
        <v>0.71746031746031746</v>
      </c>
    </row>
    <row r="9" spans="1:7" ht="18" x14ac:dyDescent="0.35">
      <c r="A9" s="5">
        <v>8</v>
      </c>
      <c r="B9" s="2" t="s">
        <v>14</v>
      </c>
      <c r="C9" s="2">
        <v>23</v>
      </c>
      <c r="D9" s="4">
        <v>21</v>
      </c>
      <c r="E9" s="4">
        <v>18</v>
      </c>
      <c r="F9" s="7">
        <f>(C9*3.1+D9*2.1+E9*1.1)</f>
        <v>135.20000000000002</v>
      </c>
      <c r="G9" s="8">
        <f>F9/189</f>
        <v>0.71534391534391539</v>
      </c>
    </row>
    <row r="10" spans="1:7" ht="18" x14ac:dyDescent="0.35">
      <c r="A10" s="5">
        <v>9</v>
      </c>
      <c r="B10" s="2" t="s">
        <v>27</v>
      </c>
      <c r="C10" s="2">
        <v>24</v>
      </c>
      <c r="D10" s="4">
        <v>20</v>
      </c>
      <c r="E10" s="4">
        <v>15</v>
      </c>
      <c r="F10" s="7">
        <f>(C10*3.1+D10*2.1+E10*1.1)</f>
        <v>132.9</v>
      </c>
      <c r="G10" s="8">
        <f>F10/189</f>
        <v>0.70317460317460323</v>
      </c>
    </row>
    <row r="11" spans="1:7" ht="18" x14ac:dyDescent="0.35">
      <c r="A11" s="5">
        <v>10</v>
      </c>
      <c r="B11" s="2" t="s">
        <v>13</v>
      </c>
      <c r="C11" s="2">
        <v>23</v>
      </c>
      <c r="D11" s="4">
        <v>18</v>
      </c>
      <c r="E11" s="4">
        <v>19</v>
      </c>
      <c r="F11" s="7">
        <f>(C11*3.1+D11*2.1+E11*1.1)</f>
        <v>130</v>
      </c>
      <c r="G11" s="8">
        <f>F11/189</f>
        <v>0.68783068783068779</v>
      </c>
    </row>
    <row r="12" spans="1:7" ht="18" x14ac:dyDescent="0.35">
      <c r="A12" s="5">
        <v>11</v>
      </c>
      <c r="B12" s="2" t="s">
        <v>15</v>
      </c>
      <c r="C12" s="2">
        <v>22</v>
      </c>
      <c r="D12" s="4">
        <v>18</v>
      </c>
      <c r="E12" s="4">
        <v>20</v>
      </c>
      <c r="F12" s="7">
        <f>(C12*3.1+D12*2.1+E12*1.1)</f>
        <v>128</v>
      </c>
      <c r="G12" s="8">
        <f>F12/189</f>
        <v>0.67724867724867721</v>
      </c>
    </row>
    <row r="13" spans="1:7" ht="18" x14ac:dyDescent="0.35">
      <c r="A13" s="1">
        <v>12</v>
      </c>
      <c r="B13" s="2" t="s">
        <v>22</v>
      </c>
      <c r="C13" s="2">
        <v>19</v>
      </c>
      <c r="D13" s="4">
        <v>19</v>
      </c>
      <c r="E13" s="4">
        <v>25</v>
      </c>
      <c r="F13" s="7">
        <f>(C13*3.1+D13*2.1+E13*1.1)</f>
        <v>126.3</v>
      </c>
      <c r="G13" s="8">
        <f>F13/189</f>
        <v>0.66825396825396821</v>
      </c>
    </row>
    <row r="14" spans="1:7" ht="18" x14ac:dyDescent="0.35">
      <c r="A14" s="1">
        <v>13</v>
      </c>
      <c r="B14" s="6" t="s">
        <v>25</v>
      </c>
      <c r="C14" s="6">
        <v>21</v>
      </c>
      <c r="D14" s="4">
        <v>17</v>
      </c>
      <c r="E14" s="4">
        <v>22</v>
      </c>
      <c r="F14" s="7">
        <f>(C14*3.1+D14*2.1+E14*1.1)</f>
        <v>125.00000000000001</v>
      </c>
      <c r="G14" s="8">
        <f>F14/189</f>
        <v>0.66137566137566151</v>
      </c>
    </row>
    <row r="15" spans="1:7" ht="18" x14ac:dyDescent="0.35">
      <c r="A15" s="1">
        <v>14</v>
      </c>
      <c r="B15" s="2" t="s">
        <v>6</v>
      </c>
      <c r="C15" s="2">
        <v>19</v>
      </c>
      <c r="D15" s="4">
        <v>20</v>
      </c>
      <c r="E15" s="4">
        <v>21</v>
      </c>
      <c r="F15" s="7">
        <f>(C15*3.1+D15*2.1+E15*1.1)</f>
        <v>124</v>
      </c>
      <c r="G15" s="8">
        <f>F15/189</f>
        <v>0.65608465608465605</v>
      </c>
    </row>
    <row r="16" spans="1:7" ht="18" x14ac:dyDescent="0.35">
      <c r="A16" s="1">
        <v>15</v>
      </c>
      <c r="B16" s="6" t="s">
        <v>20</v>
      </c>
      <c r="C16" s="6">
        <v>20</v>
      </c>
      <c r="D16" s="4">
        <v>20</v>
      </c>
      <c r="E16" s="4">
        <v>16</v>
      </c>
      <c r="F16" s="7">
        <f>(C16*3.1+D16*2.1+E16*1.1)</f>
        <v>121.6</v>
      </c>
      <c r="G16" s="8">
        <f>F16/189</f>
        <v>0.64338624338624339</v>
      </c>
    </row>
    <row r="17" spans="1:7" ht="18" x14ac:dyDescent="0.35">
      <c r="A17" s="1">
        <v>16</v>
      </c>
      <c r="B17" s="6" t="s">
        <v>4</v>
      </c>
      <c r="C17" s="6">
        <v>18</v>
      </c>
      <c r="D17" s="4">
        <v>21</v>
      </c>
      <c r="E17" s="4">
        <v>18</v>
      </c>
      <c r="F17" s="7">
        <f>(C17*3.1+D17*2.1+E17*1.1)</f>
        <v>119.7</v>
      </c>
      <c r="G17" s="8">
        <f>F17/189</f>
        <v>0.6333333333333333</v>
      </c>
    </row>
    <row r="18" spans="1:7" ht="18" x14ac:dyDescent="0.35">
      <c r="A18" s="1">
        <v>17</v>
      </c>
      <c r="B18" s="2" t="s">
        <v>5</v>
      </c>
      <c r="C18" s="2">
        <v>20</v>
      </c>
      <c r="D18" s="4">
        <v>17</v>
      </c>
      <c r="E18" s="4">
        <v>20</v>
      </c>
      <c r="F18" s="7">
        <f>(C18*3.1+D18*2.1+E18*1.1)</f>
        <v>119.7</v>
      </c>
      <c r="G18" s="8">
        <f>F18/189</f>
        <v>0.6333333333333333</v>
      </c>
    </row>
    <row r="19" spans="1:7" ht="18" x14ac:dyDescent="0.35">
      <c r="A19" s="1">
        <v>18</v>
      </c>
      <c r="B19" s="2" t="s">
        <v>19</v>
      </c>
      <c r="C19" s="2">
        <v>18</v>
      </c>
      <c r="D19" s="4">
        <v>22</v>
      </c>
      <c r="E19" s="4">
        <v>16</v>
      </c>
      <c r="F19" s="7">
        <f>(C19*3.1+D19*2.1+E19*1.1)</f>
        <v>119.6</v>
      </c>
      <c r="G19" s="8">
        <f>F19/189</f>
        <v>0.63280423280423281</v>
      </c>
    </row>
    <row r="20" spans="1:7" ht="18" x14ac:dyDescent="0.35">
      <c r="A20" s="1">
        <v>19</v>
      </c>
      <c r="B20" s="6" t="s">
        <v>23</v>
      </c>
      <c r="C20" s="6">
        <v>19</v>
      </c>
      <c r="D20" s="4">
        <v>17</v>
      </c>
      <c r="E20" s="4">
        <v>21</v>
      </c>
      <c r="F20" s="7">
        <f>(C20*3.1+D20*2.1+E20*1.1)</f>
        <v>117.69999999999999</v>
      </c>
      <c r="G20" s="8">
        <f>F20/189</f>
        <v>0.62275132275132272</v>
      </c>
    </row>
    <row r="21" spans="1:7" ht="18" x14ac:dyDescent="0.35">
      <c r="A21" s="1">
        <v>20</v>
      </c>
      <c r="B21" s="2" t="s">
        <v>34</v>
      </c>
      <c r="C21" s="2">
        <v>15</v>
      </c>
      <c r="D21" s="4">
        <v>23</v>
      </c>
      <c r="E21" s="4">
        <v>20</v>
      </c>
      <c r="F21" s="7">
        <f>(C21*3.1+D21*2.1+E21*1.1)</f>
        <v>116.80000000000001</v>
      </c>
      <c r="G21" s="8">
        <f>F21/189</f>
        <v>0.61798941798941809</v>
      </c>
    </row>
    <row r="22" spans="1:7" ht="18" x14ac:dyDescent="0.35">
      <c r="A22" s="1">
        <v>21</v>
      </c>
      <c r="B22" s="2" t="s">
        <v>33</v>
      </c>
      <c r="C22" s="2">
        <v>22</v>
      </c>
      <c r="D22" s="4">
        <v>14</v>
      </c>
      <c r="E22" s="4">
        <v>17</v>
      </c>
      <c r="F22" s="7">
        <f>(C22*3.1+D22*2.1+E22*1.1)</f>
        <v>116.30000000000001</v>
      </c>
      <c r="G22" s="8">
        <f>F22/189</f>
        <v>0.61534391534391542</v>
      </c>
    </row>
    <row r="23" spans="1:7" ht="18" x14ac:dyDescent="0.35">
      <c r="A23" s="1">
        <v>22</v>
      </c>
      <c r="B23" s="6" t="s">
        <v>28</v>
      </c>
      <c r="C23" s="6">
        <v>20</v>
      </c>
      <c r="D23" s="4">
        <v>14</v>
      </c>
      <c r="E23" s="4">
        <v>16</v>
      </c>
      <c r="F23" s="7">
        <f>(C23*3.1+D23*2.1+E23*1.1)</f>
        <v>109</v>
      </c>
      <c r="G23" s="8">
        <f>F23/189</f>
        <v>0.57671957671957674</v>
      </c>
    </row>
    <row r="24" spans="1:7" ht="18" x14ac:dyDescent="0.35">
      <c r="A24" s="1">
        <v>23</v>
      </c>
      <c r="B24" s="2" t="s">
        <v>24</v>
      </c>
      <c r="C24" s="2">
        <v>19</v>
      </c>
      <c r="D24" s="4">
        <v>14</v>
      </c>
      <c r="E24" s="4">
        <v>17</v>
      </c>
      <c r="F24" s="7">
        <f>(C24*3.1+D24*2.1+E24*1.1)</f>
        <v>107</v>
      </c>
      <c r="G24" s="8">
        <f>F24/189</f>
        <v>0.56613756613756616</v>
      </c>
    </row>
    <row r="25" spans="1:7" ht="18" x14ac:dyDescent="0.35">
      <c r="A25" s="1">
        <v>24</v>
      </c>
      <c r="B25" s="2" t="s">
        <v>8</v>
      </c>
      <c r="C25" s="2">
        <v>19</v>
      </c>
      <c r="D25" s="4">
        <v>12</v>
      </c>
      <c r="E25" s="4">
        <v>19</v>
      </c>
      <c r="F25" s="7">
        <f>(C25*3.1+D25*2.1+E25*1.1)</f>
        <v>105</v>
      </c>
      <c r="G25" s="8">
        <f>F25/189</f>
        <v>0.55555555555555558</v>
      </c>
    </row>
    <row r="26" spans="1:7" ht="18" x14ac:dyDescent="0.35">
      <c r="A26" s="1">
        <v>25</v>
      </c>
      <c r="B26" s="2" t="s">
        <v>35</v>
      </c>
      <c r="C26" s="2">
        <v>18</v>
      </c>
      <c r="D26" s="4">
        <v>12</v>
      </c>
      <c r="E26" s="4">
        <v>19</v>
      </c>
      <c r="F26" s="7">
        <f>(C26*3.1+D26*2.1+E26*1.1)</f>
        <v>101.9</v>
      </c>
      <c r="G26" s="8">
        <f>F26/189</f>
        <v>0.53915343915343916</v>
      </c>
    </row>
    <row r="27" spans="1:7" ht="18" x14ac:dyDescent="0.35">
      <c r="A27" s="1">
        <v>26</v>
      </c>
      <c r="B27" s="2" t="s">
        <v>31</v>
      </c>
      <c r="C27" s="2">
        <v>23</v>
      </c>
      <c r="D27" s="4">
        <v>7</v>
      </c>
      <c r="E27" s="4">
        <v>14</v>
      </c>
      <c r="F27" s="7">
        <f>(C27*3.1+D27*2.1+E27*1.1)</f>
        <v>101.4</v>
      </c>
      <c r="G27" s="8">
        <f>F27/189</f>
        <v>0.53650793650793649</v>
      </c>
    </row>
    <row r="28" spans="1:7" ht="18" x14ac:dyDescent="0.35">
      <c r="A28" s="1">
        <v>27</v>
      </c>
      <c r="B28" s="6" t="s">
        <v>11</v>
      </c>
      <c r="C28" s="6">
        <v>17</v>
      </c>
      <c r="D28" s="4">
        <v>14</v>
      </c>
      <c r="E28" s="4">
        <v>15</v>
      </c>
      <c r="F28" s="7">
        <f>(C28*3.1+D28*2.1+E28*1.1)</f>
        <v>98.600000000000009</v>
      </c>
      <c r="G28" s="8">
        <f>F28/189</f>
        <v>0.52169312169312176</v>
      </c>
    </row>
    <row r="29" spans="1:7" ht="18" x14ac:dyDescent="0.35">
      <c r="A29" s="1">
        <v>28</v>
      </c>
      <c r="B29" s="2" t="s">
        <v>36</v>
      </c>
      <c r="C29" s="2">
        <v>16</v>
      </c>
      <c r="D29" s="4">
        <v>15</v>
      </c>
      <c r="E29" s="4">
        <v>12</v>
      </c>
      <c r="F29" s="7">
        <f>(C29*3.1+D29*2.1+E29*1.1)</f>
        <v>94.3</v>
      </c>
      <c r="G29" s="8">
        <f>F29/189</f>
        <v>0.49894179894179891</v>
      </c>
    </row>
    <row r="30" spans="1:7" ht="18" x14ac:dyDescent="0.35">
      <c r="A30" s="1">
        <v>29</v>
      </c>
      <c r="B30" s="2" t="s">
        <v>9</v>
      </c>
      <c r="C30" s="2">
        <v>16</v>
      </c>
      <c r="D30" s="4">
        <v>12</v>
      </c>
      <c r="E30" s="4">
        <v>17</v>
      </c>
      <c r="F30" s="7">
        <f>(C30*3.1+D30*2.1+E30*1.1)</f>
        <v>93.500000000000014</v>
      </c>
      <c r="G30" s="8">
        <f>F30/189</f>
        <v>0.49470899470899476</v>
      </c>
    </row>
    <row r="31" spans="1:7" ht="18" x14ac:dyDescent="0.35">
      <c r="A31" s="1">
        <v>30</v>
      </c>
      <c r="B31" s="2" t="s">
        <v>16</v>
      </c>
      <c r="C31" s="2">
        <v>16</v>
      </c>
      <c r="D31" s="4">
        <v>14</v>
      </c>
      <c r="E31" s="4">
        <v>13</v>
      </c>
      <c r="F31" s="7">
        <f>(C31*3.1+D31*2.1+E31*1.1)</f>
        <v>93.3</v>
      </c>
      <c r="G31" s="8">
        <f>F31/189</f>
        <v>0.49365079365079362</v>
      </c>
    </row>
    <row r="32" spans="1:7" ht="18" x14ac:dyDescent="0.35">
      <c r="A32" s="1">
        <v>31</v>
      </c>
      <c r="B32" s="2" t="s">
        <v>18</v>
      </c>
      <c r="C32" s="2">
        <v>19</v>
      </c>
      <c r="D32" s="4">
        <v>8</v>
      </c>
      <c r="E32" s="4">
        <v>15</v>
      </c>
      <c r="F32" s="7">
        <f>(C32*3.1+D32*2.1+E32*1.1)</f>
        <v>92.2</v>
      </c>
      <c r="G32" s="8">
        <f>F32/189</f>
        <v>0.48783068783068784</v>
      </c>
    </row>
    <row r="33" spans="1:7" ht="18" x14ac:dyDescent="0.35">
      <c r="A33" s="1">
        <v>32</v>
      </c>
      <c r="B33" s="2" t="s">
        <v>30</v>
      </c>
      <c r="C33" s="2">
        <v>18</v>
      </c>
      <c r="D33" s="4">
        <v>9</v>
      </c>
      <c r="E33" s="4">
        <v>15</v>
      </c>
      <c r="F33" s="7">
        <f>(C33*3.1+D33*2.1+E33*1.1)</f>
        <v>91.2</v>
      </c>
      <c r="G33" s="8">
        <f>F33/189</f>
        <v>0.48253968253968255</v>
      </c>
    </row>
    <row r="34" spans="1:7" ht="18" x14ac:dyDescent="0.35">
      <c r="A34" s="1">
        <v>33</v>
      </c>
      <c r="B34" s="2" t="s">
        <v>32</v>
      </c>
      <c r="C34" s="2">
        <v>18</v>
      </c>
      <c r="D34" s="4">
        <v>11</v>
      </c>
      <c r="E34" s="4">
        <v>9</v>
      </c>
      <c r="F34" s="7">
        <f>(C34*3.1+D34*2.1+E34*1.1)</f>
        <v>88.800000000000011</v>
      </c>
      <c r="G34" s="8">
        <f>F34/189</f>
        <v>0.46984126984126989</v>
      </c>
    </row>
    <row r="35" spans="1:7" ht="18" x14ac:dyDescent="0.35">
      <c r="A35" s="1">
        <v>34</v>
      </c>
      <c r="B35" s="2" t="s">
        <v>29</v>
      </c>
      <c r="C35" s="2">
        <v>14</v>
      </c>
      <c r="D35" s="4">
        <v>10</v>
      </c>
      <c r="E35" s="4">
        <v>16</v>
      </c>
      <c r="F35" s="7">
        <f>(C35*3.1+D35*2.1+E35*1.1)</f>
        <v>82</v>
      </c>
      <c r="G35" s="8">
        <f>F35/189</f>
        <v>0.43386243386243384</v>
      </c>
    </row>
    <row r="36" spans="1:7" ht="18" x14ac:dyDescent="0.35">
      <c r="A36" s="1">
        <v>35</v>
      </c>
      <c r="B36" s="6" t="s">
        <v>7</v>
      </c>
      <c r="C36" s="6"/>
      <c r="D36" s="4"/>
      <c r="E36" s="4"/>
      <c r="F36" s="7">
        <f>(C36*3.1+D36*2.1+E36*1.1)</f>
        <v>0</v>
      </c>
      <c r="G36" s="8">
        <f>F36/189</f>
        <v>0</v>
      </c>
    </row>
  </sheetData>
  <sortState ref="B2:G36">
    <sortCondition descending="1" ref="G2:G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2026-03-02T15:28:00Z</dcterms:modified>
</cp:coreProperties>
</file>