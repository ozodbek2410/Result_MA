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/>
  <xr:revisionPtr revIDLastSave="0" documentId="13_ncr:1_{6ACA4B79-47C4-4FC1-B14F-D8EFF74AD7CB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Лист1" sheetId="1" r:id="rId1"/>
    <sheet name="Sentabr" sheetId="2" r:id="rId2"/>
    <sheet name="okt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2" i="3" l="1"/>
  <c r="H112" i="3" s="1"/>
  <c r="G113" i="3"/>
  <c r="H113" i="3" s="1"/>
  <c r="G12" i="3"/>
  <c r="H12" i="3" s="1"/>
  <c r="G17" i="3"/>
  <c r="H17" i="3" s="1"/>
  <c r="G73" i="3"/>
  <c r="H73" i="3" s="1"/>
  <c r="G61" i="3"/>
  <c r="H61" i="3" s="1"/>
  <c r="G32" i="3"/>
  <c r="H32" i="3" s="1"/>
  <c r="G13" i="3"/>
  <c r="H13" i="3" s="1"/>
  <c r="G74" i="3"/>
  <c r="H74" i="3" s="1"/>
  <c r="G75" i="3"/>
  <c r="H75" i="3" s="1"/>
  <c r="G40" i="3"/>
  <c r="H40" i="3" s="1"/>
  <c r="G76" i="3"/>
  <c r="H76" i="3" s="1"/>
  <c r="G18" i="3"/>
  <c r="H18" i="3" s="1"/>
  <c r="G44" i="3"/>
  <c r="H44" i="3" s="1"/>
  <c r="G62" i="3"/>
  <c r="H62" i="3" s="1"/>
  <c r="G47" i="3"/>
  <c r="H47" i="3" s="1"/>
  <c r="G23" i="3"/>
  <c r="H23" i="3" s="1"/>
  <c r="G45" i="3"/>
  <c r="H45" i="3" s="1"/>
  <c r="G77" i="3"/>
  <c r="H77" i="3" s="1"/>
  <c r="G78" i="3"/>
  <c r="H78" i="3" s="1"/>
  <c r="G79" i="3"/>
  <c r="H79" i="3" s="1"/>
  <c r="G67" i="3"/>
  <c r="H67" i="3" s="1"/>
  <c r="G80" i="3"/>
  <c r="H80" i="3" s="1"/>
  <c r="G81" i="3"/>
  <c r="H81" i="3" s="1"/>
  <c r="G82" i="3"/>
  <c r="H82" i="3" s="1"/>
  <c r="G19" i="3"/>
  <c r="H19" i="3" s="1"/>
  <c r="G68" i="3"/>
  <c r="H68" i="3" s="1"/>
  <c r="G41" i="3"/>
  <c r="H41" i="3" s="1"/>
  <c r="G64" i="3"/>
  <c r="H64" i="3" s="1"/>
  <c r="G83" i="3"/>
  <c r="H83" i="3" s="1"/>
  <c r="G3" i="3"/>
  <c r="H3" i="3" s="1"/>
  <c r="G84" i="3"/>
  <c r="H84" i="3" s="1"/>
  <c r="G8" i="3"/>
  <c r="H8" i="3" s="1"/>
  <c r="G85" i="3"/>
  <c r="H85" i="3" s="1"/>
  <c r="G31" i="3"/>
  <c r="H31" i="3" s="1"/>
  <c r="G20" i="3"/>
  <c r="H20" i="3" s="1"/>
  <c r="G34" i="3"/>
  <c r="H34" i="3" s="1"/>
  <c r="G14" i="3"/>
  <c r="H14" i="3" s="1"/>
  <c r="G53" i="3"/>
  <c r="H53" i="3" s="1"/>
  <c r="G65" i="3"/>
  <c r="H65" i="3" s="1"/>
  <c r="G54" i="3"/>
  <c r="H54" i="3" s="1"/>
  <c r="G5" i="3"/>
  <c r="H5" i="3" s="1"/>
  <c r="G16" i="3"/>
  <c r="H16" i="3" s="1"/>
  <c r="G86" i="3"/>
  <c r="H86" i="3" s="1"/>
  <c r="G37" i="3"/>
  <c r="H37" i="3" s="1"/>
  <c r="G36" i="3"/>
  <c r="H36" i="3" s="1"/>
  <c r="G70" i="3"/>
  <c r="H70" i="3" s="1"/>
  <c r="G52" i="3"/>
  <c r="H52" i="3" s="1"/>
  <c r="G38" i="3"/>
  <c r="H38" i="3" s="1"/>
  <c r="G9" i="3"/>
  <c r="H9" i="3" s="1"/>
  <c r="G46" i="3"/>
  <c r="H46" i="3" s="1"/>
  <c r="G28" i="3"/>
  <c r="H28" i="3" s="1"/>
  <c r="G87" i="3"/>
  <c r="H87" i="3" s="1"/>
  <c r="G29" i="3"/>
  <c r="H29" i="3" s="1"/>
  <c r="G33" i="3"/>
  <c r="H33" i="3" s="1"/>
  <c r="G88" i="3"/>
  <c r="H88" i="3" s="1"/>
  <c r="G89" i="3"/>
  <c r="H89" i="3" s="1"/>
  <c r="G11" i="3"/>
  <c r="H11" i="3" s="1"/>
  <c r="G90" i="3"/>
  <c r="H90" i="3" s="1"/>
  <c r="G57" i="3"/>
  <c r="H57" i="3" s="1"/>
  <c r="G51" i="3"/>
  <c r="H51" i="3" s="1"/>
  <c r="G48" i="3"/>
  <c r="H48" i="3" s="1"/>
  <c r="G25" i="3"/>
  <c r="H25" i="3" s="1"/>
  <c r="G69" i="3"/>
  <c r="H69" i="3" s="1"/>
  <c r="G91" i="3"/>
  <c r="H91" i="3" s="1"/>
  <c r="G22" i="3"/>
  <c r="H22" i="3" s="1"/>
  <c r="G6" i="3"/>
  <c r="H6" i="3" s="1"/>
  <c r="G92" i="3"/>
  <c r="H92" i="3" s="1"/>
  <c r="G43" i="3"/>
  <c r="H43" i="3" s="1"/>
  <c r="G93" i="3"/>
  <c r="H93" i="3" s="1"/>
  <c r="G94" i="3"/>
  <c r="H94" i="3" s="1"/>
  <c r="G55" i="3"/>
  <c r="H55" i="3" s="1"/>
  <c r="G21" i="3"/>
  <c r="H21" i="3" s="1"/>
  <c r="G95" i="3"/>
  <c r="H95" i="3" s="1"/>
  <c r="G66" i="3"/>
  <c r="H66" i="3" s="1"/>
  <c r="G96" i="3"/>
  <c r="H96" i="3" s="1"/>
  <c r="G7" i="3"/>
  <c r="H7" i="3" s="1"/>
  <c r="G59" i="3"/>
  <c r="H59" i="3" s="1"/>
  <c r="G97" i="3"/>
  <c r="H97" i="3" s="1"/>
  <c r="G24" i="3"/>
  <c r="H24" i="3" s="1"/>
  <c r="G10" i="3"/>
  <c r="H10" i="3" s="1"/>
  <c r="G4" i="3"/>
  <c r="H4" i="3" s="1"/>
  <c r="G98" i="3"/>
  <c r="H98" i="3" s="1"/>
  <c r="G50" i="3"/>
  <c r="H50" i="3" s="1"/>
  <c r="G99" i="3"/>
  <c r="H99" i="3" s="1"/>
  <c r="G100" i="3"/>
  <c r="H100" i="3" s="1"/>
  <c r="G63" i="3"/>
  <c r="H63" i="3" s="1"/>
  <c r="G101" i="3"/>
  <c r="H101" i="3" s="1"/>
  <c r="G102" i="3"/>
  <c r="H102" i="3" s="1"/>
  <c r="G103" i="3"/>
  <c r="H103" i="3" s="1"/>
  <c r="G42" i="3"/>
  <c r="H42" i="3" s="1"/>
  <c r="G58" i="3"/>
  <c r="H58" i="3" s="1"/>
  <c r="G104" i="3"/>
  <c r="H104" i="3" s="1"/>
  <c r="G71" i="3"/>
  <c r="H71" i="3" s="1"/>
  <c r="G105" i="3"/>
  <c r="H105" i="3" s="1"/>
  <c r="G39" i="3"/>
  <c r="H39" i="3" s="1"/>
  <c r="G26" i="3"/>
  <c r="H26" i="3" s="1"/>
  <c r="G106" i="3"/>
  <c r="H106" i="3" s="1"/>
  <c r="G107" i="3"/>
  <c r="H107" i="3" s="1"/>
  <c r="G27" i="3"/>
  <c r="H27" i="3" s="1"/>
  <c r="G108" i="3"/>
  <c r="H108" i="3" s="1"/>
  <c r="G109" i="3"/>
  <c r="H109" i="3" s="1"/>
  <c r="G15" i="3"/>
  <c r="H15" i="3" s="1"/>
  <c r="G110" i="3"/>
  <c r="H110" i="3" s="1"/>
  <c r="G60" i="3"/>
  <c r="H60" i="3" s="1"/>
  <c r="G35" i="3"/>
  <c r="H35" i="3" s="1"/>
  <c r="G56" i="3"/>
  <c r="H56" i="3" s="1"/>
  <c r="G111" i="3"/>
  <c r="H111" i="3" s="1"/>
  <c r="G49" i="3"/>
  <c r="H49" i="3" s="1"/>
  <c r="G72" i="3"/>
  <c r="H72" i="3" s="1"/>
  <c r="G30" i="3" l="1"/>
  <c r="H30" i="3" s="1"/>
  <c r="H5" i="2" l="1"/>
  <c r="I5" i="2" s="1"/>
  <c r="H7" i="2"/>
  <c r="I7" i="2" s="1"/>
  <c r="H4" i="2"/>
  <c r="I4" i="2" s="1"/>
  <c r="H8" i="2"/>
  <c r="I8" i="2" s="1"/>
  <c r="H6" i="2"/>
  <c r="I6" i="2" s="1"/>
  <c r="H15" i="2"/>
  <c r="I15" i="2" s="1"/>
  <c r="H9" i="2"/>
  <c r="I9" i="2" s="1"/>
  <c r="H10" i="2"/>
  <c r="I10" i="2" s="1"/>
  <c r="H11" i="2"/>
  <c r="I11" i="2" s="1"/>
  <c r="H12" i="2"/>
  <c r="I12" i="2" s="1"/>
  <c r="H25" i="2"/>
  <c r="I25" i="2" s="1"/>
  <c r="H16" i="2"/>
  <c r="I16" i="2" s="1"/>
  <c r="H18" i="2"/>
  <c r="I18" i="2" s="1"/>
  <c r="H13" i="2"/>
  <c r="I13" i="2" s="1"/>
  <c r="H14" i="2"/>
  <c r="I14" i="2" s="1"/>
  <c r="H27" i="2"/>
  <c r="I27" i="2" s="1"/>
  <c r="H17" i="2"/>
  <c r="I17" i="2" s="1"/>
  <c r="H19" i="2"/>
  <c r="I19" i="2" s="1"/>
  <c r="H23" i="2"/>
  <c r="I23" i="2" s="1"/>
  <c r="H20" i="2"/>
  <c r="I20" i="2" s="1"/>
  <c r="H32" i="2"/>
  <c r="I32" i="2" s="1"/>
  <c r="H24" i="2"/>
  <c r="I24" i="2" s="1"/>
  <c r="H31" i="2"/>
  <c r="I31" i="2" s="1"/>
  <c r="H21" i="2"/>
  <c r="I21" i="2" s="1"/>
  <c r="H28" i="2"/>
  <c r="I28" i="2" s="1"/>
  <c r="H35" i="2"/>
  <c r="I35" i="2" s="1"/>
  <c r="H33" i="2"/>
  <c r="I33" i="2" s="1"/>
  <c r="H26" i="2"/>
  <c r="I26" i="2" s="1"/>
  <c r="H30" i="2"/>
  <c r="I30" i="2" s="1"/>
  <c r="H22" i="2"/>
  <c r="I22" i="2" s="1"/>
  <c r="H29" i="2"/>
  <c r="I29" i="2" s="1"/>
  <c r="H34" i="2"/>
  <c r="I34" i="2" s="1"/>
  <c r="H40" i="2"/>
  <c r="I40" i="2" s="1"/>
  <c r="H36" i="2"/>
  <c r="I36" i="2" s="1"/>
  <c r="H38" i="2"/>
  <c r="I38" i="2" s="1"/>
  <c r="H39" i="2"/>
  <c r="I39" i="2" s="1"/>
  <c r="H37" i="2"/>
  <c r="I37" i="2" s="1"/>
  <c r="H3" i="2"/>
  <c r="I3" i="2" s="1"/>
</calcChain>
</file>

<file path=xl/sharedStrings.xml><?xml version="1.0" encoding="utf-8"?>
<sst xmlns="http://schemas.openxmlformats.org/spreadsheetml/2006/main" count="515" uniqueCount="219">
  <si>
    <t>T/R</t>
  </si>
  <si>
    <t>Baxshullayeva Sevinch</t>
  </si>
  <si>
    <t>Yoqubjonova Dilnura</t>
  </si>
  <si>
    <t>Sayfullayeva Tabassum</t>
  </si>
  <si>
    <t>Ramazonova Marjona</t>
  </si>
  <si>
    <t>Karimova Asal</t>
  </si>
  <si>
    <t>Aminova Sevinch</t>
  </si>
  <si>
    <t>Axadova Parizoda</t>
  </si>
  <si>
    <t>Murodullayeva Sevinch</t>
  </si>
  <si>
    <t>F.I.SH</t>
  </si>
  <si>
    <t xml:space="preserve">TEL: </t>
  </si>
  <si>
    <t>Manzil</t>
  </si>
  <si>
    <t>Raynobod</t>
  </si>
  <si>
    <t>Qiziltepa</t>
  </si>
  <si>
    <t>Mahallamirzayon</t>
  </si>
  <si>
    <t>Qorovulbozor</t>
  </si>
  <si>
    <t>Dilkisho</t>
  </si>
  <si>
    <t>Kavobi</t>
  </si>
  <si>
    <t>Armechan</t>
  </si>
  <si>
    <t>Ergashev Nazarbek</t>
  </si>
  <si>
    <t>90 510 62 34</t>
  </si>
  <si>
    <t>Beruniy ko'cha</t>
  </si>
  <si>
    <t>Raxmonkulov Ruslan</t>
  </si>
  <si>
    <t>91 829 30 91</t>
  </si>
  <si>
    <t>Fayzullaxo'jayev ko'chasi</t>
  </si>
  <si>
    <t>Kamolov Behruz</t>
  </si>
  <si>
    <t>91 828 20 70</t>
  </si>
  <si>
    <t>Pizigimon</t>
  </si>
  <si>
    <t>Kamolov Kamron</t>
  </si>
  <si>
    <t>Abadi</t>
  </si>
  <si>
    <t>Nasimov Ibrohim</t>
  </si>
  <si>
    <t>91 645 74 82</t>
  </si>
  <si>
    <t>Jumaqulov Jobirbek</t>
  </si>
  <si>
    <t>94 248 18 16</t>
  </si>
  <si>
    <t>Nurobod</t>
  </si>
  <si>
    <t>91 645 78 75</t>
  </si>
  <si>
    <t>Sadullayev Sohib</t>
  </si>
  <si>
    <t>99 627 15 83</t>
  </si>
  <si>
    <t>Rostgo'y</t>
  </si>
  <si>
    <t>90 711 14 65</t>
  </si>
  <si>
    <t>Turdifarodiy</t>
  </si>
  <si>
    <t>Odilov Burhonniddin</t>
  </si>
  <si>
    <t>Shaxriyorov Sharofbek</t>
  </si>
  <si>
    <t>90 513 63 96</t>
  </si>
  <si>
    <t>G'ijduvon</t>
  </si>
  <si>
    <t>Alijonov Og'abek</t>
  </si>
  <si>
    <t>94 441 33 31</t>
  </si>
  <si>
    <t>Xamidullayev Muhriddin</t>
  </si>
  <si>
    <t xml:space="preserve">88 219 11 20 </t>
  </si>
  <si>
    <t>Sirdaryo viloyat</t>
  </si>
  <si>
    <t>Sirojiddinov Temurbek</t>
  </si>
  <si>
    <t xml:space="preserve">97 378 45 60 </t>
  </si>
  <si>
    <t>Zarafshon shahar</t>
  </si>
  <si>
    <t xml:space="preserve">Sharipov Shaxriyor </t>
  </si>
  <si>
    <t>90 513 50 93</t>
  </si>
  <si>
    <t>Vobkent</t>
  </si>
  <si>
    <t>Toxirov Temurbek</t>
  </si>
  <si>
    <t>88 725 28 88</t>
  </si>
  <si>
    <t>Abdullayev Shohrux</t>
  </si>
  <si>
    <t>91 418 25 82</t>
  </si>
  <si>
    <t>Shavkatov Shavkatjon</t>
  </si>
  <si>
    <t xml:space="preserve">90 712 26 04 </t>
  </si>
  <si>
    <t>Mehriddinov Zuhriddin</t>
  </si>
  <si>
    <t>91 417 09 35</t>
  </si>
  <si>
    <t>Shavkatov Muhammad</t>
  </si>
  <si>
    <t>33 000 22 11</t>
  </si>
  <si>
    <t xml:space="preserve">Zayniyev Shahzodbek </t>
  </si>
  <si>
    <t>91 403 10 06</t>
  </si>
  <si>
    <t>Mahalla Mirzoyon</t>
  </si>
  <si>
    <t>Boboqulov Nodirbek</t>
  </si>
  <si>
    <t>90 637 29 25</t>
  </si>
  <si>
    <t>Mazragan</t>
  </si>
  <si>
    <t>Toshloq MFY</t>
  </si>
  <si>
    <t>Guliston</t>
  </si>
  <si>
    <t>Beshtuvo</t>
  </si>
  <si>
    <t>Muhiddinov Abdurhmon</t>
  </si>
  <si>
    <t>33 890 43 40</t>
  </si>
  <si>
    <t>Qumoq</t>
  </si>
  <si>
    <t xml:space="preserve">Mustafoyev Daler </t>
  </si>
  <si>
    <t>33 600 00 28</t>
  </si>
  <si>
    <t>Qiziltepa Nurafshon</t>
  </si>
  <si>
    <t>Yo'ldoshev Mirfayz</t>
  </si>
  <si>
    <t xml:space="preserve">94 681 53 43 </t>
  </si>
  <si>
    <t>Qiziltepa Shaboda</t>
  </si>
  <si>
    <t>Ibragimov Alibek</t>
  </si>
  <si>
    <t>94 240 61 80</t>
  </si>
  <si>
    <t>Kekirtak</t>
  </si>
  <si>
    <t>Mannopov Muhammadaziz</t>
  </si>
  <si>
    <t>98 107 75 77</t>
  </si>
  <si>
    <t>Marifat</t>
  </si>
  <si>
    <t>Norchayev Shuhrat</t>
  </si>
  <si>
    <t xml:space="preserve">91 224 12 46 </t>
  </si>
  <si>
    <t>Budyodkor MFY</t>
  </si>
  <si>
    <t xml:space="preserve">Mustaqimov Umidjon </t>
  </si>
  <si>
    <t xml:space="preserve">97 488 72 92 </t>
  </si>
  <si>
    <t xml:space="preserve">Alisherov Ummat </t>
  </si>
  <si>
    <t>90 635 90 45</t>
  </si>
  <si>
    <t xml:space="preserve">Qumoq MFY </t>
  </si>
  <si>
    <t>Sadirov Ulug'bek</t>
  </si>
  <si>
    <t>91 988 02 24</t>
  </si>
  <si>
    <t>Madaniyat MFY</t>
  </si>
  <si>
    <t>Amonov Mirshod</t>
  </si>
  <si>
    <t xml:space="preserve">99 452 51 02 </t>
  </si>
  <si>
    <t>Dodarak</t>
  </si>
  <si>
    <t>Jo'raqulov Javhar</t>
  </si>
  <si>
    <t xml:space="preserve">99 095 28 21 </t>
  </si>
  <si>
    <t>Yashobod MFY</t>
  </si>
  <si>
    <t>Baxshilloyev Asilbek</t>
  </si>
  <si>
    <t>91 844 77 30</t>
  </si>
  <si>
    <t>Pomuza MFY</t>
  </si>
  <si>
    <t>Ulug'jonov Alisherbek</t>
  </si>
  <si>
    <t>94 373 68 66</t>
  </si>
  <si>
    <t>94 819 12 23</t>
  </si>
  <si>
    <t>90 711 24 06</t>
  </si>
  <si>
    <t>91 333 33 95</t>
  </si>
  <si>
    <t>95 747 01 87</t>
  </si>
  <si>
    <t>90 414 30 05</t>
  </si>
  <si>
    <t>90 712 80 56</t>
  </si>
  <si>
    <t>97 301 61 11</t>
  </si>
  <si>
    <t>90 080 41 33</t>
  </si>
  <si>
    <t>O`ktamov Ruslan</t>
  </si>
  <si>
    <t>Toshpo`latov Bahrom</t>
  </si>
  <si>
    <t>Rustamov Zuhriddin</t>
  </si>
  <si>
    <t>Iqtisod 9- sinf B guruh  Matematika</t>
  </si>
  <si>
    <t>test-30</t>
  </si>
  <si>
    <t>test-40</t>
  </si>
  <si>
    <t>jami</t>
  </si>
  <si>
    <t>Foiz</t>
  </si>
  <si>
    <t>Muhiddinov Abdurahmon</t>
  </si>
  <si>
    <t>Toshniyozov Elnurbek</t>
  </si>
  <si>
    <t>Abdurahimov Abdukarim</t>
  </si>
  <si>
    <t>Inoyatov Asadbek</t>
  </si>
  <si>
    <t>Amonova Nuriddinali</t>
  </si>
  <si>
    <t>Blok test</t>
  </si>
  <si>
    <t>G`ulomov Javohir</t>
  </si>
  <si>
    <t>Matematika</t>
  </si>
  <si>
    <t>Ball</t>
  </si>
  <si>
    <t>Ingliz tili</t>
  </si>
  <si>
    <t>Sirojiddinov Temur</t>
  </si>
  <si>
    <t>Obidov Sobir</t>
  </si>
  <si>
    <t>Amrilloyev Amirbek</t>
  </si>
  <si>
    <t>Habibov Bilolxo'ja</t>
  </si>
  <si>
    <t>Shomurodov Bahrom</t>
  </si>
  <si>
    <t>Nasullayev Aziz</t>
  </si>
  <si>
    <t>Ismoilova Hilola</t>
  </si>
  <si>
    <t>Xusainov Shaxrizod</t>
  </si>
  <si>
    <t>Ibodullayev Dadaxon</t>
  </si>
  <si>
    <t>Yandashov Timur</t>
  </si>
  <si>
    <t>Tilavova Farangiz</t>
  </si>
  <si>
    <t>Mirjonov Ahmadjon</t>
  </si>
  <si>
    <t>Baxodirov Kamronbek</t>
  </si>
  <si>
    <t>Shukurov Anvar</t>
  </si>
  <si>
    <t>Shodiyev Olmos</t>
  </si>
  <si>
    <t>Ro'ziboyev Bobur</t>
  </si>
  <si>
    <t>Ergashov Nazarbek</t>
  </si>
  <si>
    <t>Nusratov Islombek</t>
  </si>
  <si>
    <t>Rizoyev Elshod</t>
  </si>
  <si>
    <t>Rajabov Ozodbek</t>
  </si>
  <si>
    <t>Shavkatov Shavkat</t>
  </si>
  <si>
    <t>Nutfullayeva Sabina</t>
  </si>
  <si>
    <t>Xolmatov Zufar</t>
  </si>
  <si>
    <t>Aminboyev Amirxon</t>
  </si>
  <si>
    <t>Axatova Parizod</t>
  </si>
  <si>
    <t>G'oyibov Behzod</t>
  </si>
  <si>
    <t>Burxonov Narimon</t>
  </si>
  <si>
    <t>Raupov Mirvohid</t>
  </si>
  <si>
    <t>Halimov Ozodbek</t>
  </si>
  <si>
    <t>Erkinov Asadbek</t>
  </si>
  <si>
    <t>Shukrullayev Shohijahon</t>
  </si>
  <si>
    <t>Saidov Samadjon</t>
  </si>
  <si>
    <t>Xo'jayev Bunyod</t>
  </si>
  <si>
    <t>Sanoqulova Diyora</t>
  </si>
  <si>
    <t>Saidova Sevara</t>
  </si>
  <si>
    <t>Alisherov Ummat</t>
  </si>
  <si>
    <t>Rajabova Jasmina</t>
  </si>
  <si>
    <t>Komilov Shohrux</t>
  </si>
  <si>
    <t>Abdullayev Asilbek</t>
  </si>
  <si>
    <t>Toshpo`latov Bahromjon</t>
  </si>
  <si>
    <t>Yo`ldoshov Mirfayz</t>
  </si>
  <si>
    <t>Mustaqimov Umidjon</t>
  </si>
  <si>
    <t>Naimov Shohijahon</t>
  </si>
  <si>
    <t>Saidov Bahodir</t>
  </si>
  <si>
    <t>Hazratov Asilbek</t>
  </si>
  <si>
    <t>Ibotova Bahora</t>
  </si>
  <si>
    <t>Xudoyberdiyev Akromjon</t>
  </si>
  <si>
    <t>Axmatov Jahongir</t>
  </si>
  <si>
    <t>Abdullayev Shohruh</t>
  </si>
  <si>
    <t xml:space="preserve">Normurodov Bahrom </t>
  </si>
  <si>
    <t>Zamonova Sabrina</t>
  </si>
  <si>
    <t>Olimova Nigina</t>
  </si>
  <si>
    <t>Alijonov Og`abek</t>
  </si>
  <si>
    <t>Mirodullayev Mirjahon</t>
  </si>
  <si>
    <t>Quvvatova Shabbona</t>
  </si>
  <si>
    <t>Hazratov Elyor</t>
  </si>
  <si>
    <t>Hamiddullayev Muhriddin</t>
  </si>
  <si>
    <t>Jumayev Zohid</t>
  </si>
  <si>
    <t>Hojiyeva Dilobar</t>
  </si>
  <si>
    <t>Rabbimqulov Aslam</t>
  </si>
  <si>
    <t>Jo`raboyev Javohir</t>
  </si>
  <si>
    <t>Teshayev Hojakbar</t>
  </si>
  <si>
    <t>Baxshullayev Baxrom</t>
  </si>
  <si>
    <t>Salimov Ozodbek</t>
  </si>
  <si>
    <t>Bobomurodov Behruz</t>
  </si>
  <si>
    <t>Tolibjonov Baxtiyor</t>
  </si>
  <si>
    <t>Baxtiyorov Jahongir</t>
  </si>
  <si>
    <t>Bekmurodova Hadicha</t>
  </si>
  <si>
    <t>Shodmonov Jo`rabek</t>
  </si>
  <si>
    <t>Zokirov Umidjon</t>
  </si>
  <si>
    <t>Murodullayev Axmadjon</t>
  </si>
  <si>
    <t xml:space="preserve">Qayimov Behruz </t>
  </si>
  <si>
    <t>ona tili/tarix/turk</t>
  </si>
  <si>
    <t>Rahimov Adham</t>
  </si>
  <si>
    <t>C</t>
  </si>
  <si>
    <t>B</t>
  </si>
  <si>
    <t>Malikova Shabnam</t>
  </si>
  <si>
    <t>A</t>
  </si>
  <si>
    <t>Mirobidov Samir</t>
  </si>
  <si>
    <t>Imomov Sherbek</t>
  </si>
  <si>
    <t>9-iqtisod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</si>
</sst>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3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2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0" fontId="5" fillId="3" borderId="1" xfId="1" applyNumberFormat="1" applyFont="1" applyFill="1" applyBorder="1" applyAlignment="1">
      <alignment horizontal="center" vertical="center"/>
    </xf>
    <xf numFmtId="10" fontId="5" fillId="5" borderId="1" xfId="1" applyNumberFormat="1" applyFont="1" applyFill="1" applyBorder="1" applyAlignment="1">
      <alignment horizontal="center" vertical="center"/>
    </xf>
    <xf numFmtId="10" fontId="5" fillId="4" borderId="1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9" fontId="6" fillId="6" borderId="1" xfId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opLeftCell="A20" workbookViewId="0">
      <selection activeCell="B32" sqref="B32"/>
    </sheetView>
  </sheetViews>
  <sheetFormatPr defaultRowHeight="15" x14ac:dyDescent="0.25"/>
  <cols>
    <col min="2" max="2" width="36.85546875" customWidth="1"/>
    <col min="3" max="3" width="33.7109375" customWidth="1"/>
    <col min="4" max="4" width="32.5703125" customWidth="1"/>
  </cols>
  <sheetData>
    <row r="1" spans="1:4" x14ac:dyDescent="0.25">
      <c r="A1" s="1" t="s">
        <v>0</v>
      </c>
      <c r="B1" s="1" t="s">
        <v>9</v>
      </c>
      <c r="C1" s="1" t="s">
        <v>10</v>
      </c>
      <c r="D1" s="1" t="s">
        <v>11</v>
      </c>
    </row>
    <row r="2" spans="1:4" x14ac:dyDescent="0.25">
      <c r="A2" s="1">
        <v>1</v>
      </c>
      <c r="B2" s="1" t="s">
        <v>1</v>
      </c>
      <c r="C2" s="1" t="s">
        <v>112</v>
      </c>
      <c r="D2" s="1" t="s">
        <v>12</v>
      </c>
    </row>
    <row r="3" spans="1:4" x14ac:dyDescent="0.25">
      <c r="A3" s="1">
        <v>2</v>
      </c>
      <c r="B3" s="1" t="s">
        <v>2</v>
      </c>
      <c r="C3" s="1" t="s">
        <v>114</v>
      </c>
      <c r="D3" s="1" t="s">
        <v>13</v>
      </c>
    </row>
    <row r="4" spans="1:4" x14ac:dyDescent="0.25">
      <c r="A4" s="1">
        <v>3</v>
      </c>
      <c r="B4" s="1" t="s">
        <v>3</v>
      </c>
      <c r="C4" s="1" t="s">
        <v>113</v>
      </c>
      <c r="D4" s="1" t="s">
        <v>14</v>
      </c>
    </row>
    <row r="5" spans="1:4" x14ac:dyDescent="0.25">
      <c r="A5" s="1">
        <v>4</v>
      </c>
      <c r="B5" s="1" t="s">
        <v>4</v>
      </c>
      <c r="C5" s="1" t="s">
        <v>115</v>
      </c>
      <c r="D5" s="1" t="s">
        <v>15</v>
      </c>
    </row>
    <row r="6" spans="1:4" x14ac:dyDescent="0.25">
      <c r="A6" s="1">
        <v>5</v>
      </c>
      <c r="B6" s="1" t="s">
        <v>5</v>
      </c>
      <c r="C6" s="1" t="s">
        <v>116</v>
      </c>
      <c r="D6" s="1" t="s">
        <v>16</v>
      </c>
    </row>
    <row r="7" spans="1:4" x14ac:dyDescent="0.25">
      <c r="A7" s="1">
        <v>6</v>
      </c>
      <c r="B7" s="1" t="s">
        <v>6</v>
      </c>
      <c r="C7" s="1" t="s">
        <v>117</v>
      </c>
      <c r="D7" s="1" t="s">
        <v>17</v>
      </c>
    </row>
    <row r="8" spans="1:4" x14ac:dyDescent="0.25">
      <c r="A8" s="1">
        <v>7</v>
      </c>
      <c r="B8" s="1" t="s">
        <v>7</v>
      </c>
      <c r="C8" s="1" t="s">
        <v>118</v>
      </c>
      <c r="D8" s="1" t="s">
        <v>18</v>
      </c>
    </row>
    <row r="9" spans="1:4" x14ac:dyDescent="0.25">
      <c r="A9" s="1">
        <v>8</v>
      </c>
      <c r="B9" s="1" t="s">
        <v>8</v>
      </c>
      <c r="C9" s="1" t="s">
        <v>119</v>
      </c>
      <c r="D9" s="1" t="s">
        <v>17</v>
      </c>
    </row>
    <row r="10" spans="1:4" x14ac:dyDescent="0.25">
      <c r="A10" s="1">
        <v>9</v>
      </c>
      <c r="B10" s="1" t="s">
        <v>56</v>
      </c>
      <c r="C10" s="1" t="s">
        <v>57</v>
      </c>
      <c r="D10" s="1" t="s">
        <v>52</v>
      </c>
    </row>
    <row r="11" spans="1:4" x14ac:dyDescent="0.25">
      <c r="A11" s="1">
        <v>10</v>
      </c>
      <c r="B11" s="1" t="s">
        <v>22</v>
      </c>
      <c r="C11" s="1" t="s">
        <v>23</v>
      </c>
      <c r="D11" s="1" t="s">
        <v>24</v>
      </c>
    </row>
    <row r="12" spans="1:4" x14ac:dyDescent="0.25">
      <c r="A12" s="1">
        <v>11</v>
      </c>
      <c r="B12" s="1" t="s">
        <v>25</v>
      </c>
      <c r="C12" s="1" t="s">
        <v>26</v>
      </c>
      <c r="D12" s="1" t="s">
        <v>27</v>
      </c>
    </row>
    <row r="13" spans="1:4" x14ac:dyDescent="0.25">
      <c r="A13" s="1">
        <v>12</v>
      </c>
      <c r="B13" s="1" t="s">
        <v>28</v>
      </c>
      <c r="C13" s="1" t="s">
        <v>35</v>
      </c>
      <c r="D13" s="1" t="s">
        <v>29</v>
      </c>
    </row>
    <row r="14" spans="1:4" x14ac:dyDescent="0.25">
      <c r="A14" s="1">
        <v>13</v>
      </c>
      <c r="B14" s="1" t="s">
        <v>30</v>
      </c>
      <c r="C14" s="1" t="s">
        <v>31</v>
      </c>
      <c r="D14" s="1" t="s">
        <v>18</v>
      </c>
    </row>
    <row r="15" spans="1:4" x14ac:dyDescent="0.25">
      <c r="A15" s="1">
        <v>14</v>
      </c>
      <c r="B15" s="1" t="s">
        <v>32</v>
      </c>
      <c r="C15" s="1" t="s">
        <v>33</v>
      </c>
      <c r="D15" s="1" t="s">
        <v>34</v>
      </c>
    </row>
    <row r="16" spans="1:4" x14ac:dyDescent="0.25">
      <c r="A16" s="1">
        <v>15</v>
      </c>
      <c r="B16" s="1" t="s">
        <v>36</v>
      </c>
      <c r="C16" s="1" t="s">
        <v>37</v>
      </c>
      <c r="D16" s="1" t="s">
        <v>38</v>
      </c>
    </row>
    <row r="17" spans="1:4" x14ac:dyDescent="0.25">
      <c r="A17" s="1">
        <v>16</v>
      </c>
      <c r="B17" s="1" t="s">
        <v>41</v>
      </c>
      <c r="C17" s="1" t="s">
        <v>39</v>
      </c>
      <c r="D17" s="1" t="s">
        <v>40</v>
      </c>
    </row>
    <row r="18" spans="1:4" x14ac:dyDescent="0.25">
      <c r="A18" s="1">
        <v>17</v>
      </c>
      <c r="B18" s="1" t="s">
        <v>42</v>
      </c>
      <c r="C18" s="1" t="s">
        <v>43</v>
      </c>
      <c r="D18" s="1" t="s">
        <v>44</v>
      </c>
    </row>
    <row r="19" spans="1:4" x14ac:dyDescent="0.25">
      <c r="A19" s="1">
        <v>18</v>
      </c>
      <c r="B19" s="1" t="s">
        <v>45</v>
      </c>
      <c r="C19" s="1" t="s">
        <v>46</v>
      </c>
      <c r="D19" s="1" t="s">
        <v>44</v>
      </c>
    </row>
    <row r="20" spans="1:4" x14ac:dyDescent="0.25">
      <c r="A20" s="1">
        <v>19</v>
      </c>
      <c r="B20" s="1" t="s">
        <v>47</v>
      </c>
      <c r="C20" s="1" t="s">
        <v>48</v>
      </c>
      <c r="D20" s="1" t="s">
        <v>49</v>
      </c>
    </row>
    <row r="21" spans="1:4" x14ac:dyDescent="0.25">
      <c r="A21" s="1">
        <v>20</v>
      </c>
      <c r="B21" s="1" t="s">
        <v>50</v>
      </c>
      <c r="C21" s="1" t="s">
        <v>51</v>
      </c>
      <c r="D21" s="1" t="s">
        <v>52</v>
      </c>
    </row>
    <row r="22" spans="1:4" x14ac:dyDescent="0.25">
      <c r="A22" s="1">
        <v>21</v>
      </c>
      <c r="B22" s="1" t="s">
        <v>53</v>
      </c>
      <c r="C22" s="1" t="s">
        <v>54</v>
      </c>
      <c r="D22" s="1" t="s">
        <v>55</v>
      </c>
    </row>
    <row r="23" spans="1:4" x14ac:dyDescent="0.25">
      <c r="A23" s="1">
        <v>22</v>
      </c>
      <c r="B23" s="1" t="s">
        <v>19</v>
      </c>
      <c r="C23" s="1" t="s">
        <v>20</v>
      </c>
      <c r="D23" s="1" t="s">
        <v>21</v>
      </c>
    </row>
    <row r="24" spans="1:4" x14ac:dyDescent="0.25">
      <c r="A24" s="1">
        <v>23</v>
      </c>
      <c r="B24" s="1" t="s">
        <v>58</v>
      </c>
      <c r="C24" s="1" t="s">
        <v>59</v>
      </c>
      <c r="D24" s="1" t="s">
        <v>55</v>
      </c>
    </row>
    <row r="25" spans="1:4" x14ac:dyDescent="0.25">
      <c r="A25" s="1">
        <v>24</v>
      </c>
      <c r="B25" s="1" t="s">
        <v>69</v>
      </c>
      <c r="C25" s="1" t="s">
        <v>70</v>
      </c>
      <c r="D25" s="1" t="s">
        <v>71</v>
      </c>
    </row>
    <row r="26" spans="1:4" x14ac:dyDescent="0.25">
      <c r="A26" s="1">
        <v>25</v>
      </c>
      <c r="B26" s="1" t="s">
        <v>60</v>
      </c>
      <c r="C26" s="1" t="s">
        <v>61</v>
      </c>
      <c r="D26" s="1" t="s">
        <v>72</v>
      </c>
    </row>
    <row r="27" spans="1:4" x14ac:dyDescent="0.25">
      <c r="A27" s="1">
        <v>26</v>
      </c>
      <c r="B27" s="1" t="s">
        <v>62</v>
      </c>
      <c r="C27" s="1" t="s">
        <v>63</v>
      </c>
      <c r="D27" s="1" t="s">
        <v>73</v>
      </c>
    </row>
    <row r="28" spans="1:4" x14ac:dyDescent="0.25">
      <c r="A28" s="1">
        <v>27</v>
      </c>
      <c r="B28" s="1" t="s">
        <v>64</v>
      </c>
      <c r="C28" s="1" t="s">
        <v>65</v>
      </c>
      <c r="D28" s="1" t="s">
        <v>74</v>
      </c>
    </row>
    <row r="29" spans="1:4" x14ac:dyDescent="0.25">
      <c r="A29" s="1">
        <v>28</v>
      </c>
      <c r="B29" s="1" t="s">
        <v>66</v>
      </c>
      <c r="C29" s="1" t="s">
        <v>67</v>
      </c>
      <c r="D29" s="1" t="s">
        <v>68</v>
      </c>
    </row>
    <row r="30" spans="1:4" x14ac:dyDescent="0.25">
      <c r="A30" s="1">
        <v>29</v>
      </c>
      <c r="B30" s="1" t="s">
        <v>75</v>
      </c>
      <c r="C30" s="1" t="s">
        <v>76</v>
      </c>
      <c r="D30" s="1" t="s">
        <v>77</v>
      </c>
    </row>
    <row r="31" spans="1:4" x14ac:dyDescent="0.25">
      <c r="A31" s="1">
        <v>30</v>
      </c>
      <c r="B31" s="1" t="s">
        <v>78</v>
      </c>
      <c r="C31" s="1" t="s">
        <v>79</v>
      </c>
      <c r="D31" s="1" t="s">
        <v>80</v>
      </c>
    </row>
    <row r="32" spans="1:4" x14ac:dyDescent="0.25">
      <c r="A32" s="1">
        <v>31</v>
      </c>
      <c r="B32" s="1" t="s">
        <v>81</v>
      </c>
      <c r="C32" s="1" t="s">
        <v>82</v>
      </c>
      <c r="D32" s="1" t="s">
        <v>83</v>
      </c>
    </row>
    <row r="33" spans="1:4" x14ac:dyDescent="0.25">
      <c r="A33" s="1">
        <v>32</v>
      </c>
      <c r="B33" s="1" t="s">
        <v>84</v>
      </c>
      <c r="C33" s="1" t="s">
        <v>85</v>
      </c>
      <c r="D33" s="1" t="s">
        <v>86</v>
      </c>
    </row>
    <row r="34" spans="1:4" x14ac:dyDescent="0.25">
      <c r="A34" s="1">
        <v>33</v>
      </c>
      <c r="B34" s="1" t="s">
        <v>87</v>
      </c>
      <c r="C34" s="1" t="s">
        <v>88</v>
      </c>
      <c r="D34" s="1" t="s">
        <v>89</v>
      </c>
    </row>
    <row r="35" spans="1:4" x14ac:dyDescent="0.25">
      <c r="A35" s="1">
        <v>34</v>
      </c>
      <c r="B35" s="1" t="s">
        <v>90</v>
      </c>
      <c r="C35" s="1" t="s">
        <v>91</v>
      </c>
      <c r="D35" s="1" t="s">
        <v>92</v>
      </c>
    </row>
    <row r="36" spans="1:4" x14ac:dyDescent="0.25">
      <c r="A36" s="1">
        <v>35</v>
      </c>
      <c r="B36" s="1" t="s">
        <v>93</v>
      </c>
      <c r="C36" s="1" t="s">
        <v>94</v>
      </c>
      <c r="D36" s="1" t="s">
        <v>77</v>
      </c>
    </row>
    <row r="37" spans="1:4" x14ac:dyDescent="0.25">
      <c r="A37" s="1">
        <v>36</v>
      </c>
      <c r="B37" s="1" t="s">
        <v>95</v>
      </c>
      <c r="C37" s="1" t="s">
        <v>96</v>
      </c>
      <c r="D37" s="1" t="s">
        <v>97</v>
      </c>
    </row>
    <row r="38" spans="1:4" x14ac:dyDescent="0.25">
      <c r="A38" s="1">
        <v>37</v>
      </c>
      <c r="B38" s="1" t="s">
        <v>98</v>
      </c>
      <c r="C38" s="1" t="s">
        <v>99</v>
      </c>
      <c r="D38" s="1" t="s">
        <v>100</v>
      </c>
    </row>
    <row r="39" spans="1:4" x14ac:dyDescent="0.25">
      <c r="A39" s="1">
        <v>38</v>
      </c>
      <c r="B39" s="1" t="s">
        <v>101</v>
      </c>
      <c r="C39" s="1" t="s">
        <v>102</v>
      </c>
      <c r="D39" s="1" t="s">
        <v>103</v>
      </c>
    </row>
    <row r="40" spans="1:4" x14ac:dyDescent="0.25">
      <c r="A40" s="1">
        <v>39</v>
      </c>
      <c r="B40" s="1" t="s">
        <v>104</v>
      </c>
      <c r="C40" s="1" t="s">
        <v>105</v>
      </c>
      <c r="D40" s="1" t="s">
        <v>106</v>
      </c>
    </row>
    <row r="41" spans="1:4" x14ac:dyDescent="0.25">
      <c r="A41" s="1">
        <v>40</v>
      </c>
      <c r="B41" s="1" t="s">
        <v>107</v>
      </c>
      <c r="C41" s="1" t="s">
        <v>108</v>
      </c>
      <c r="D41" s="1" t="s">
        <v>109</v>
      </c>
    </row>
    <row r="42" spans="1:4" x14ac:dyDescent="0.25">
      <c r="A42" s="1">
        <v>41</v>
      </c>
      <c r="B42" s="1" t="s">
        <v>110</v>
      </c>
      <c r="C42" s="1" t="s">
        <v>111</v>
      </c>
      <c r="D42" s="1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0"/>
  <sheetViews>
    <sheetView topLeftCell="A21" workbookViewId="0">
      <selection activeCell="E27" sqref="E27"/>
    </sheetView>
  </sheetViews>
  <sheetFormatPr defaultRowHeight="31.5" x14ac:dyDescent="0.5"/>
  <cols>
    <col min="1" max="1" width="9.28515625" bestFit="1" customWidth="1"/>
    <col min="2" max="2" width="26.28515625" style="2" bestFit="1" customWidth="1"/>
    <col min="3" max="6" width="7.5703125" bestFit="1" customWidth="1"/>
    <col min="7" max="7" width="9.140625" bestFit="1" customWidth="1"/>
    <col min="8" max="8" width="5" bestFit="1" customWidth="1"/>
    <col min="9" max="9" width="7.7109375" bestFit="1" customWidth="1"/>
  </cols>
  <sheetData>
    <row r="1" spans="1:9" ht="15.75" x14ac:dyDescent="0.25">
      <c r="A1" s="27" t="s">
        <v>123</v>
      </c>
      <c r="B1" s="28"/>
      <c r="C1" s="28"/>
      <c r="D1" s="28"/>
      <c r="E1" s="28"/>
      <c r="F1" s="28"/>
      <c r="G1" s="28"/>
      <c r="H1" s="28"/>
      <c r="I1" s="29"/>
    </row>
    <row r="2" spans="1:9" s="3" customFormat="1" ht="26.25" x14ac:dyDescent="0.4">
      <c r="A2" s="5" t="s">
        <v>0</v>
      </c>
      <c r="B2" s="6" t="s">
        <v>9</v>
      </c>
      <c r="C2" s="6" t="s">
        <v>125</v>
      </c>
      <c r="D2" s="6" t="s">
        <v>124</v>
      </c>
      <c r="E2" s="6" t="s">
        <v>124</v>
      </c>
      <c r="F2" s="6" t="s">
        <v>124</v>
      </c>
      <c r="G2" s="6" t="s">
        <v>133</v>
      </c>
      <c r="H2" s="6" t="s">
        <v>126</v>
      </c>
      <c r="I2" s="7" t="s">
        <v>127</v>
      </c>
    </row>
    <row r="3" spans="1:9" ht="15.75" x14ac:dyDescent="0.25">
      <c r="A3" s="8">
        <v>1</v>
      </c>
      <c r="B3" s="8" t="s">
        <v>104</v>
      </c>
      <c r="C3" s="8">
        <v>38</v>
      </c>
      <c r="D3" s="8">
        <v>26</v>
      </c>
      <c r="E3" s="8">
        <v>28</v>
      </c>
      <c r="F3" s="8">
        <v>29</v>
      </c>
      <c r="G3" s="8">
        <v>28</v>
      </c>
      <c r="H3" s="8">
        <f t="shared" ref="H3:H40" si="0">SUM(C3:G3)</f>
        <v>149</v>
      </c>
      <c r="I3" s="9">
        <f t="shared" ref="I3:I40" si="1">H3/160</f>
        <v>0.93125000000000002</v>
      </c>
    </row>
    <row r="4" spans="1:9" ht="15.75" x14ac:dyDescent="0.25">
      <c r="A4" s="8">
        <v>2</v>
      </c>
      <c r="B4" s="8" t="s">
        <v>110</v>
      </c>
      <c r="C4" s="8">
        <v>38</v>
      </c>
      <c r="D4" s="8">
        <v>24</v>
      </c>
      <c r="E4" s="8">
        <v>26</v>
      </c>
      <c r="F4" s="8">
        <v>29</v>
      </c>
      <c r="G4" s="8">
        <v>28</v>
      </c>
      <c r="H4" s="8">
        <f t="shared" si="0"/>
        <v>145</v>
      </c>
      <c r="I4" s="9">
        <f t="shared" si="1"/>
        <v>0.90625</v>
      </c>
    </row>
    <row r="5" spans="1:9" ht="15.75" x14ac:dyDescent="0.25">
      <c r="A5" s="8">
        <v>3</v>
      </c>
      <c r="B5" s="8" t="s">
        <v>90</v>
      </c>
      <c r="C5" s="8">
        <v>39</v>
      </c>
      <c r="D5" s="8">
        <v>29</v>
      </c>
      <c r="E5" s="8">
        <v>23</v>
      </c>
      <c r="F5" s="8">
        <v>30</v>
      </c>
      <c r="G5" s="8">
        <v>22</v>
      </c>
      <c r="H5" s="8">
        <f t="shared" si="0"/>
        <v>143</v>
      </c>
      <c r="I5" s="9">
        <f t="shared" si="1"/>
        <v>0.89375000000000004</v>
      </c>
    </row>
    <row r="6" spans="1:9" ht="15.75" x14ac:dyDescent="0.25">
      <c r="A6" s="8">
        <v>4</v>
      </c>
      <c r="B6" s="8" t="s">
        <v>107</v>
      </c>
      <c r="C6" s="8">
        <v>37</v>
      </c>
      <c r="D6" s="8">
        <v>26</v>
      </c>
      <c r="E6" s="8">
        <v>24</v>
      </c>
      <c r="F6" s="8">
        <v>29</v>
      </c>
      <c r="G6" s="8">
        <v>27</v>
      </c>
      <c r="H6" s="8">
        <f t="shared" si="0"/>
        <v>143</v>
      </c>
      <c r="I6" s="9">
        <f t="shared" si="1"/>
        <v>0.89375000000000004</v>
      </c>
    </row>
    <row r="7" spans="1:9" ht="15.75" x14ac:dyDescent="0.25">
      <c r="A7" s="8">
        <v>5</v>
      </c>
      <c r="B7" s="10" t="s">
        <v>120</v>
      </c>
      <c r="C7" s="10">
        <v>37</v>
      </c>
      <c r="D7" s="10">
        <v>24</v>
      </c>
      <c r="E7" s="10">
        <v>27</v>
      </c>
      <c r="F7" s="10">
        <v>29</v>
      </c>
      <c r="G7" s="10">
        <v>25</v>
      </c>
      <c r="H7" s="8">
        <f t="shared" si="0"/>
        <v>142</v>
      </c>
      <c r="I7" s="9">
        <f t="shared" si="1"/>
        <v>0.88749999999999996</v>
      </c>
    </row>
    <row r="8" spans="1:9" ht="15.75" x14ac:dyDescent="0.25">
      <c r="A8" s="8">
        <v>6</v>
      </c>
      <c r="B8" s="8" t="s">
        <v>36</v>
      </c>
      <c r="C8" s="8">
        <v>37</v>
      </c>
      <c r="D8" s="8">
        <v>27</v>
      </c>
      <c r="E8" s="8">
        <v>23</v>
      </c>
      <c r="F8" s="8">
        <v>30</v>
      </c>
      <c r="G8" s="8">
        <v>25</v>
      </c>
      <c r="H8" s="8">
        <f t="shared" si="0"/>
        <v>142</v>
      </c>
      <c r="I8" s="9">
        <f t="shared" si="1"/>
        <v>0.88749999999999996</v>
      </c>
    </row>
    <row r="9" spans="1:9" ht="15.75" x14ac:dyDescent="0.25">
      <c r="A9" s="8">
        <v>8</v>
      </c>
      <c r="B9" s="8" t="s">
        <v>30</v>
      </c>
      <c r="C9" s="8">
        <v>34</v>
      </c>
      <c r="D9" s="8">
        <v>28</v>
      </c>
      <c r="E9" s="8">
        <v>22</v>
      </c>
      <c r="F9" s="8">
        <v>30</v>
      </c>
      <c r="G9" s="8">
        <v>24</v>
      </c>
      <c r="H9" s="8">
        <f t="shared" si="0"/>
        <v>138</v>
      </c>
      <c r="I9" s="9">
        <f t="shared" si="1"/>
        <v>0.86250000000000004</v>
      </c>
    </row>
    <row r="10" spans="1:9" ht="15.75" x14ac:dyDescent="0.25">
      <c r="A10" s="11">
        <v>9</v>
      </c>
      <c r="B10" s="11" t="s">
        <v>62</v>
      </c>
      <c r="C10" s="11">
        <v>36</v>
      </c>
      <c r="D10" s="11">
        <v>27</v>
      </c>
      <c r="E10" s="11">
        <v>20</v>
      </c>
      <c r="F10" s="11">
        <v>29</v>
      </c>
      <c r="G10" s="11">
        <v>24</v>
      </c>
      <c r="H10" s="11">
        <f t="shared" si="0"/>
        <v>136</v>
      </c>
      <c r="I10" s="15">
        <f t="shared" si="1"/>
        <v>0.85</v>
      </c>
    </row>
    <row r="11" spans="1:9" ht="15.75" x14ac:dyDescent="0.25">
      <c r="A11" s="11">
        <v>10</v>
      </c>
      <c r="B11" s="12" t="s">
        <v>32</v>
      </c>
      <c r="C11" s="12">
        <v>31</v>
      </c>
      <c r="D11" s="12">
        <v>27</v>
      </c>
      <c r="E11" s="12">
        <v>25</v>
      </c>
      <c r="F11" s="12">
        <v>29</v>
      </c>
      <c r="G11" s="12">
        <v>24</v>
      </c>
      <c r="H11" s="11">
        <f t="shared" si="0"/>
        <v>136</v>
      </c>
      <c r="I11" s="15">
        <f t="shared" si="1"/>
        <v>0.85</v>
      </c>
    </row>
    <row r="12" spans="1:9" ht="15.75" x14ac:dyDescent="0.25">
      <c r="A12" s="11">
        <v>11</v>
      </c>
      <c r="B12" s="11" t="s">
        <v>64</v>
      </c>
      <c r="C12" s="11">
        <v>38</v>
      </c>
      <c r="D12" s="11">
        <v>26</v>
      </c>
      <c r="E12" s="11">
        <v>18</v>
      </c>
      <c r="F12" s="11">
        <v>30</v>
      </c>
      <c r="G12" s="11">
        <v>24</v>
      </c>
      <c r="H12" s="11">
        <f t="shared" si="0"/>
        <v>136</v>
      </c>
      <c r="I12" s="15">
        <f t="shared" si="1"/>
        <v>0.85</v>
      </c>
    </row>
    <row r="13" spans="1:9" ht="15.75" x14ac:dyDescent="0.25">
      <c r="A13" s="11">
        <v>12</v>
      </c>
      <c r="B13" s="12" t="s">
        <v>87</v>
      </c>
      <c r="C13" s="12">
        <v>34</v>
      </c>
      <c r="D13" s="12">
        <v>25</v>
      </c>
      <c r="E13" s="12">
        <v>21</v>
      </c>
      <c r="F13" s="12">
        <v>30</v>
      </c>
      <c r="G13" s="12">
        <v>25</v>
      </c>
      <c r="H13" s="11">
        <f t="shared" si="0"/>
        <v>135</v>
      </c>
      <c r="I13" s="15">
        <f t="shared" si="1"/>
        <v>0.84375</v>
      </c>
    </row>
    <row r="14" spans="1:9" ht="15.75" x14ac:dyDescent="0.25">
      <c r="A14" s="11">
        <v>13</v>
      </c>
      <c r="B14" s="11" t="s">
        <v>50</v>
      </c>
      <c r="C14" s="11">
        <v>38</v>
      </c>
      <c r="D14" s="11">
        <v>24</v>
      </c>
      <c r="E14" s="11">
        <v>17</v>
      </c>
      <c r="F14" s="11">
        <v>30</v>
      </c>
      <c r="G14" s="11">
        <v>26</v>
      </c>
      <c r="H14" s="11">
        <f t="shared" si="0"/>
        <v>135</v>
      </c>
      <c r="I14" s="15">
        <f t="shared" si="1"/>
        <v>0.84375</v>
      </c>
    </row>
    <row r="15" spans="1:9" ht="15.75" x14ac:dyDescent="0.25">
      <c r="A15" s="11">
        <v>14</v>
      </c>
      <c r="B15" s="11" t="s">
        <v>22</v>
      </c>
      <c r="C15" s="11">
        <v>37</v>
      </c>
      <c r="D15" s="11">
        <v>27</v>
      </c>
      <c r="E15" s="11">
        <v>20</v>
      </c>
      <c r="F15" s="11">
        <v>27</v>
      </c>
      <c r="G15" s="11">
        <v>22</v>
      </c>
      <c r="H15" s="11">
        <f t="shared" si="0"/>
        <v>133</v>
      </c>
      <c r="I15" s="15">
        <f t="shared" si="1"/>
        <v>0.83125000000000004</v>
      </c>
    </row>
    <row r="16" spans="1:9" ht="15.75" x14ac:dyDescent="0.25">
      <c r="A16" s="11">
        <v>15</v>
      </c>
      <c r="B16" s="12" t="s">
        <v>60</v>
      </c>
      <c r="C16" s="12">
        <v>35</v>
      </c>
      <c r="D16" s="12">
        <v>25</v>
      </c>
      <c r="E16" s="12">
        <v>21</v>
      </c>
      <c r="F16" s="12">
        <v>28</v>
      </c>
      <c r="G16" s="12">
        <v>24</v>
      </c>
      <c r="H16" s="11">
        <f t="shared" si="0"/>
        <v>133</v>
      </c>
      <c r="I16" s="15">
        <f t="shared" si="1"/>
        <v>0.83125000000000004</v>
      </c>
    </row>
    <row r="17" spans="1:9" ht="15.75" x14ac:dyDescent="0.25">
      <c r="A17" s="11">
        <v>16</v>
      </c>
      <c r="B17" s="12" t="s">
        <v>1</v>
      </c>
      <c r="C17" s="12">
        <v>32</v>
      </c>
      <c r="D17" s="12">
        <v>24</v>
      </c>
      <c r="E17" s="12">
        <v>21</v>
      </c>
      <c r="F17" s="12">
        <v>29</v>
      </c>
      <c r="G17" s="12">
        <v>27</v>
      </c>
      <c r="H17" s="11">
        <f t="shared" si="0"/>
        <v>133</v>
      </c>
      <c r="I17" s="15">
        <f t="shared" si="1"/>
        <v>0.83125000000000004</v>
      </c>
    </row>
    <row r="18" spans="1:9" ht="15.75" x14ac:dyDescent="0.25">
      <c r="A18" s="11">
        <v>17</v>
      </c>
      <c r="B18" s="12" t="s">
        <v>4</v>
      </c>
      <c r="C18" s="12">
        <v>32</v>
      </c>
      <c r="D18" s="12">
        <v>24</v>
      </c>
      <c r="E18" s="12">
        <v>25</v>
      </c>
      <c r="F18" s="12">
        <v>30</v>
      </c>
      <c r="G18" s="12">
        <v>20</v>
      </c>
      <c r="H18" s="11">
        <f t="shared" si="0"/>
        <v>131</v>
      </c>
      <c r="I18" s="15">
        <f t="shared" si="1"/>
        <v>0.81874999999999998</v>
      </c>
    </row>
    <row r="19" spans="1:9" ht="15.75" x14ac:dyDescent="0.25">
      <c r="A19" s="11">
        <v>18</v>
      </c>
      <c r="B19" s="12" t="s">
        <v>3</v>
      </c>
      <c r="C19" s="12">
        <v>32</v>
      </c>
      <c r="D19" s="12">
        <v>24</v>
      </c>
      <c r="E19" s="12">
        <v>21</v>
      </c>
      <c r="F19" s="12">
        <v>29</v>
      </c>
      <c r="G19" s="12">
        <v>24</v>
      </c>
      <c r="H19" s="11">
        <f t="shared" si="0"/>
        <v>130</v>
      </c>
      <c r="I19" s="15">
        <f t="shared" si="1"/>
        <v>0.8125</v>
      </c>
    </row>
    <row r="20" spans="1:9" ht="15.75" x14ac:dyDescent="0.25">
      <c r="A20" s="11">
        <v>19</v>
      </c>
      <c r="B20" s="12" t="s">
        <v>98</v>
      </c>
      <c r="C20" s="12">
        <v>33</v>
      </c>
      <c r="D20" s="12">
        <v>21</v>
      </c>
      <c r="E20" s="12">
        <v>23</v>
      </c>
      <c r="F20" s="12">
        <v>29</v>
      </c>
      <c r="G20" s="12">
        <v>24</v>
      </c>
      <c r="H20" s="11">
        <f t="shared" si="0"/>
        <v>130</v>
      </c>
      <c r="I20" s="15">
        <f t="shared" si="1"/>
        <v>0.8125</v>
      </c>
    </row>
    <row r="21" spans="1:9" ht="15.75" x14ac:dyDescent="0.25">
      <c r="A21" s="11">
        <v>20</v>
      </c>
      <c r="B21" s="12" t="s">
        <v>78</v>
      </c>
      <c r="C21" s="12">
        <v>34</v>
      </c>
      <c r="D21" s="12">
        <v>20</v>
      </c>
      <c r="E21" s="12">
        <v>22</v>
      </c>
      <c r="F21" s="12">
        <v>30</v>
      </c>
      <c r="G21" s="12">
        <v>22</v>
      </c>
      <c r="H21" s="11">
        <f t="shared" si="0"/>
        <v>128</v>
      </c>
      <c r="I21" s="15">
        <f t="shared" si="1"/>
        <v>0.8</v>
      </c>
    </row>
    <row r="22" spans="1:9" ht="15.75" x14ac:dyDescent="0.25">
      <c r="A22" s="11">
        <v>21</v>
      </c>
      <c r="B22" s="12" t="s">
        <v>5</v>
      </c>
      <c r="C22" s="12">
        <v>32</v>
      </c>
      <c r="D22" s="12">
        <v>24</v>
      </c>
      <c r="E22" s="12">
        <v>15</v>
      </c>
      <c r="F22" s="12">
        <v>30</v>
      </c>
      <c r="G22" s="12">
        <v>27</v>
      </c>
      <c r="H22" s="11">
        <f t="shared" si="0"/>
        <v>128</v>
      </c>
      <c r="I22" s="15">
        <f t="shared" si="1"/>
        <v>0.8</v>
      </c>
    </row>
    <row r="23" spans="1:9" ht="15.75" x14ac:dyDescent="0.25">
      <c r="A23" s="11">
        <v>22</v>
      </c>
      <c r="B23" s="12" t="s">
        <v>25</v>
      </c>
      <c r="C23" s="12">
        <v>31</v>
      </c>
      <c r="D23" s="12">
        <v>25</v>
      </c>
      <c r="E23" s="12">
        <v>21</v>
      </c>
      <c r="F23" s="12">
        <v>30</v>
      </c>
      <c r="G23" s="12">
        <v>21</v>
      </c>
      <c r="H23" s="11">
        <f t="shared" si="0"/>
        <v>128</v>
      </c>
      <c r="I23" s="15">
        <f t="shared" si="1"/>
        <v>0.8</v>
      </c>
    </row>
    <row r="24" spans="1:9" ht="15.75" x14ac:dyDescent="0.25">
      <c r="A24" s="11">
        <v>23</v>
      </c>
      <c r="B24" s="12" t="s">
        <v>66</v>
      </c>
      <c r="C24" s="12">
        <v>38</v>
      </c>
      <c r="D24" s="12">
        <v>26</v>
      </c>
      <c r="E24" s="12">
        <v>13</v>
      </c>
      <c r="F24" s="12">
        <v>29</v>
      </c>
      <c r="G24" s="12">
        <v>21</v>
      </c>
      <c r="H24" s="11">
        <f t="shared" si="0"/>
        <v>127</v>
      </c>
      <c r="I24" s="15">
        <f t="shared" si="1"/>
        <v>0.79374999999999996</v>
      </c>
    </row>
    <row r="25" spans="1:9" ht="15.75" x14ac:dyDescent="0.25">
      <c r="A25" s="11">
        <v>24</v>
      </c>
      <c r="B25" s="12" t="s">
        <v>121</v>
      </c>
      <c r="C25" s="12">
        <v>36</v>
      </c>
      <c r="D25" s="12">
        <v>23</v>
      </c>
      <c r="E25" s="12">
        <v>23</v>
      </c>
      <c r="F25" s="12">
        <v>26</v>
      </c>
      <c r="G25" s="12">
        <v>19</v>
      </c>
      <c r="H25" s="11">
        <f t="shared" si="0"/>
        <v>127</v>
      </c>
      <c r="I25" s="15">
        <f t="shared" si="1"/>
        <v>0.79374999999999996</v>
      </c>
    </row>
    <row r="26" spans="1:9" ht="15.75" x14ac:dyDescent="0.25">
      <c r="A26" s="11">
        <v>25</v>
      </c>
      <c r="B26" s="12" t="s">
        <v>84</v>
      </c>
      <c r="C26" s="12">
        <v>33</v>
      </c>
      <c r="D26" s="12">
        <v>21</v>
      </c>
      <c r="E26" s="12">
        <v>18</v>
      </c>
      <c r="F26" s="12">
        <v>29</v>
      </c>
      <c r="G26" s="12">
        <v>24</v>
      </c>
      <c r="H26" s="11">
        <f t="shared" si="0"/>
        <v>125</v>
      </c>
      <c r="I26" s="15">
        <f t="shared" si="1"/>
        <v>0.78125</v>
      </c>
    </row>
    <row r="27" spans="1:9" ht="15.75" x14ac:dyDescent="0.25">
      <c r="A27" s="11">
        <v>26</v>
      </c>
      <c r="B27" s="12" t="s">
        <v>8</v>
      </c>
      <c r="C27" s="12">
        <v>32</v>
      </c>
      <c r="D27" s="12">
        <v>24</v>
      </c>
      <c r="E27" s="12">
        <v>22</v>
      </c>
      <c r="F27" s="12">
        <v>28</v>
      </c>
      <c r="G27" s="12">
        <v>18</v>
      </c>
      <c r="H27" s="11">
        <f t="shared" si="0"/>
        <v>124</v>
      </c>
      <c r="I27" s="15">
        <f t="shared" si="1"/>
        <v>0.77500000000000002</v>
      </c>
    </row>
    <row r="28" spans="1:9" ht="15.75" x14ac:dyDescent="0.25">
      <c r="A28" s="11">
        <v>27</v>
      </c>
      <c r="B28" s="12" t="s">
        <v>6</v>
      </c>
      <c r="C28" s="12">
        <v>32</v>
      </c>
      <c r="D28" s="12">
        <v>24</v>
      </c>
      <c r="E28" s="12">
        <v>19</v>
      </c>
      <c r="F28" s="12">
        <v>29</v>
      </c>
      <c r="G28" s="12">
        <v>20</v>
      </c>
      <c r="H28" s="11">
        <f t="shared" si="0"/>
        <v>124</v>
      </c>
      <c r="I28" s="15">
        <f t="shared" si="1"/>
        <v>0.77500000000000002</v>
      </c>
    </row>
    <row r="29" spans="1:9" ht="15.75" x14ac:dyDescent="0.25">
      <c r="A29" s="11">
        <v>28</v>
      </c>
      <c r="B29" s="12" t="s">
        <v>53</v>
      </c>
      <c r="C29" s="12">
        <v>26</v>
      </c>
      <c r="D29" s="12">
        <v>22</v>
      </c>
      <c r="E29" s="12">
        <v>23</v>
      </c>
      <c r="F29" s="12">
        <v>29</v>
      </c>
      <c r="G29" s="12">
        <v>24</v>
      </c>
      <c r="H29" s="11">
        <f t="shared" si="0"/>
        <v>124</v>
      </c>
      <c r="I29" s="15">
        <f t="shared" si="1"/>
        <v>0.77500000000000002</v>
      </c>
    </row>
    <row r="30" spans="1:9" ht="15.75" x14ac:dyDescent="0.25">
      <c r="A30" s="11">
        <v>29</v>
      </c>
      <c r="B30" s="12" t="s">
        <v>81</v>
      </c>
      <c r="C30" s="12">
        <v>33</v>
      </c>
      <c r="D30" s="12">
        <v>20</v>
      </c>
      <c r="E30" s="12">
        <v>19</v>
      </c>
      <c r="F30" s="12">
        <v>29</v>
      </c>
      <c r="G30" s="12">
        <v>22</v>
      </c>
      <c r="H30" s="11">
        <f t="shared" si="0"/>
        <v>123</v>
      </c>
      <c r="I30" s="15">
        <f t="shared" si="1"/>
        <v>0.76875000000000004</v>
      </c>
    </row>
    <row r="31" spans="1:9" ht="15.75" x14ac:dyDescent="0.25">
      <c r="A31" s="11">
        <v>30</v>
      </c>
      <c r="B31" s="12" t="s">
        <v>93</v>
      </c>
      <c r="C31" s="12">
        <v>33</v>
      </c>
      <c r="D31" s="12">
        <v>25</v>
      </c>
      <c r="E31" s="12">
        <v>18</v>
      </c>
      <c r="F31" s="12">
        <v>25</v>
      </c>
      <c r="G31" s="12">
        <v>19</v>
      </c>
      <c r="H31" s="11">
        <f t="shared" si="0"/>
        <v>120</v>
      </c>
      <c r="I31" s="15">
        <f t="shared" si="1"/>
        <v>0.75</v>
      </c>
    </row>
    <row r="32" spans="1:9" ht="15.75" x14ac:dyDescent="0.25">
      <c r="A32" s="11">
        <v>31</v>
      </c>
      <c r="B32" s="12" t="s">
        <v>47</v>
      </c>
      <c r="C32" s="12">
        <v>31</v>
      </c>
      <c r="D32" s="12">
        <v>22</v>
      </c>
      <c r="E32" s="12">
        <v>24</v>
      </c>
      <c r="F32" s="12">
        <v>24</v>
      </c>
      <c r="G32" s="12">
        <v>17</v>
      </c>
      <c r="H32" s="11">
        <f t="shared" si="0"/>
        <v>118</v>
      </c>
      <c r="I32" s="15">
        <f t="shared" si="1"/>
        <v>0.73750000000000004</v>
      </c>
    </row>
    <row r="33" spans="1:9" ht="15.75" x14ac:dyDescent="0.25">
      <c r="A33" s="11">
        <v>32</v>
      </c>
      <c r="B33" s="12" t="s">
        <v>45</v>
      </c>
      <c r="C33" s="12">
        <v>33</v>
      </c>
      <c r="D33" s="12">
        <v>21</v>
      </c>
      <c r="E33" s="12">
        <v>19</v>
      </c>
      <c r="F33" s="12">
        <v>27</v>
      </c>
      <c r="G33" s="12">
        <v>18</v>
      </c>
      <c r="H33" s="11">
        <f t="shared" si="0"/>
        <v>118</v>
      </c>
      <c r="I33" s="15">
        <f t="shared" si="1"/>
        <v>0.73750000000000004</v>
      </c>
    </row>
    <row r="34" spans="1:9" ht="15.75" x14ac:dyDescent="0.25">
      <c r="A34" s="11">
        <v>33</v>
      </c>
      <c r="B34" s="12" t="s">
        <v>41</v>
      </c>
      <c r="C34" s="12">
        <v>31</v>
      </c>
      <c r="D34" s="12">
        <v>22</v>
      </c>
      <c r="E34" s="12">
        <v>14</v>
      </c>
      <c r="F34" s="12">
        <v>30</v>
      </c>
      <c r="G34" s="12">
        <v>20</v>
      </c>
      <c r="H34" s="11">
        <f t="shared" si="0"/>
        <v>117</v>
      </c>
      <c r="I34" s="15">
        <f t="shared" si="1"/>
        <v>0.73124999999999996</v>
      </c>
    </row>
    <row r="35" spans="1:9" ht="15.75" x14ac:dyDescent="0.25">
      <c r="A35" s="11">
        <v>34</v>
      </c>
      <c r="B35" s="12" t="s">
        <v>101</v>
      </c>
      <c r="C35" s="12">
        <v>34</v>
      </c>
      <c r="D35" s="12">
        <v>21</v>
      </c>
      <c r="E35" s="12">
        <v>18</v>
      </c>
      <c r="F35" s="12">
        <v>28</v>
      </c>
      <c r="G35" s="12">
        <v>15</v>
      </c>
      <c r="H35" s="11">
        <f t="shared" si="0"/>
        <v>116</v>
      </c>
      <c r="I35" s="15">
        <f t="shared" si="1"/>
        <v>0.72499999999999998</v>
      </c>
    </row>
    <row r="36" spans="1:9" ht="15.75" x14ac:dyDescent="0.25">
      <c r="A36" s="13">
        <v>35</v>
      </c>
      <c r="B36" s="13" t="s">
        <v>128</v>
      </c>
      <c r="C36" s="13">
        <v>35</v>
      </c>
      <c r="D36" s="13">
        <v>25</v>
      </c>
      <c r="E36" s="13">
        <v>0</v>
      </c>
      <c r="F36" s="13">
        <v>28</v>
      </c>
      <c r="G36" s="13">
        <v>24</v>
      </c>
      <c r="H36" s="13">
        <f t="shared" si="0"/>
        <v>112</v>
      </c>
      <c r="I36" s="17">
        <f t="shared" si="1"/>
        <v>0.7</v>
      </c>
    </row>
    <row r="37" spans="1:9" ht="15.75" x14ac:dyDescent="0.25">
      <c r="A37" s="13">
        <v>36</v>
      </c>
      <c r="B37" s="13" t="s">
        <v>56</v>
      </c>
      <c r="C37" s="13">
        <v>29</v>
      </c>
      <c r="D37" s="13">
        <v>20</v>
      </c>
      <c r="E37" s="13">
        <v>0</v>
      </c>
      <c r="F37" s="13">
        <v>30</v>
      </c>
      <c r="G37" s="13">
        <v>24</v>
      </c>
      <c r="H37" s="13">
        <f t="shared" si="0"/>
        <v>103</v>
      </c>
      <c r="I37" s="17">
        <f t="shared" si="1"/>
        <v>0.64375000000000004</v>
      </c>
    </row>
    <row r="38" spans="1:9" ht="15.75" x14ac:dyDescent="0.25">
      <c r="A38" s="13">
        <v>37</v>
      </c>
      <c r="B38" s="13" t="s">
        <v>122</v>
      </c>
      <c r="C38" s="13">
        <v>30</v>
      </c>
      <c r="D38" s="13">
        <v>16</v>
      </c>
      <c r="E38" s="13">
        <v>14</v>
      </c>
      <c r="F38" s="13">
        <v>25</v>
      </c>
      <c r="G38" s="13">
        <v>15</v>
      </c>
      <c r="H38" s="13">
        <f t="shared" si="0"/>
        <v>100</v>
      </c>
      <c r="I38" s="17">
        <f t="shared" si="1"/>
        <v>0.625</v>
      </c>
    </row>
    <row r="39" spans="1:9" ht="15.75" x14ac:dyDescent="0.25">
      <c r="A39" s="13">
        <v>38</v>
      </c>
      <c r="B39" s="13" t="s">
        <v>58</v>
      </c>
      <c r="C39" s="13">
        <v>25</v>
      </c>
      <c r="D39" s="13">
        <v>16</v>
      </c>
      <c r="E39" s="13">
        <v>13</v>
      </c>
      <c r="F39" s="13">
        <v>24</v>
      </c>
      <c r="G39" s="13">
        <v>17</v>
      </c>
      <c r="H39" s="13">
        <f t="shared" si="0"/>
        <v>95</v>
      </c>
      <c r="I39" s="17">
        <f t="shared" si="1"/>
        <v>0.59375</v>
      </c>
    </row>
    <row r="40" spans="1:9" ht="15.75" x14ac:dyDescent="0.25">
      <c r="A40" s="14">
        <v>39</v>
      </c>
      <c r="B40" s="14" t="s">
        <v>95</v>
      </c>
      <c r="C40" s="14">
        <v>33</v>
      </c>
      <c r="D40" s="14">
        <v>20</v>
      </c>
      <c r="E40" s="14">
        <v>14</v>
      </c>
      <c r="F40" s="14">
        <v>0</v>
      </c>
      <c r="G40" s="14">
        <v>15</v>
      </c>
      <c r="H40" s="14">
        <f t="shared" si="0"/>
        <v>82</v>
      </c>
      <c r="I40" s="16">
        <f t="shared" si="1"/>
        <v>0.51249999999999996</v>
      </c>
    </row>
  </sheetData>
  <sortState xmlns:xlrd2="http://schemas.microsoft.com/office/spreadsheetml/2017/richdata2" ref="B3:I40">
    <sortCondition descending="1" ref="I3"/>
  </sortState>
  <mergeCells count="1">
    <mergeCell ref="A1:I1"/>
  </mergeCells>
  <pageMargins left="0.2" right="0.2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3"/>
  <sheetViews>
    <sheetView tabSelected="1" topLeftCell="A67" zoomScale="98" workbookViewId="0">
      <selection activeCell="F71" sqref="F71"/>
    </sheetView>
  </sheetViews>
  <sheetFormatPr defaultColWidth="9.140625" defaultRowHeight="31.5" x14ac:dyDescent="0.25"/>
  <cols>
    <col min="1" max="1" width="9.140625" style="1"/>
    <col min="2" max="2" width="35.28515625" style="4" customWidth="1"/>
    <col min="3" max="3" width="10.28515625" style="4" bestFit="1" customWidth="1"/>
    <col min="4" max="4" width="13.5703125" style="1" customWidth="1"/>
    <col min="5" max="5" width="12.7109375" style="1" customWidth="1"/>
    <col min="6" max="6" width="18.28515625" style="1" customWidth="1"/>
    <col min="7" max="7" width="17.5703125" style="1" customWidth="1"/>
    <col min="8" max="9" width="12.7109375" style="1" customWidth="1"/>
    <col min="10" max="10" width="9.140625" style="1"/>
    <col min="11" max="11" width="11.5703125" style="1" bestFit="1" customWidth="1"/>
    <col min="12" max="16384" width="9.140625" style="1"/>
  </cols>
  <sheetData>
    <row r="1" spans="1:11" ht="17.25" x14ac:dyDescent="0.2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s="18" customFormat="1" ht="26.25" x14ac:dyDescent="0.25">
      <c r="A2" s="21" t="s">
        <v>0</v>
      </c>
      <c r="B2" s="21" t="s">
        <v>9</v>
      </c>
      <c r="C2" s="21"/>
      <c r="D2" s="21" t="s">
        <v>135</v>
      </c>
      <c r="E2" s="21" t="s">
        <v>137</v>
      </c>
      <c r="F2" s="21" t="s">
        <v>210</v>
      </c>
      <c r="G2" s="21" t="s">
        <v>136</v>
      </c>
      <c r="H2" s="21" t="s">
        <v>127</v>
      </c>
      <c r="I2" s="19"/>
      <c r="J2" s="23"/>
      <c r="K2" s="19"/>
    </row>
    <row r="3" spans="1:11" ht="17.25" x14ac:dyDescent="0.25">
      <c r="A3" s="21">
        <v>1</v>
      </c>
      <c r="B3" s="20" t="s">
        <v>183</v>
      </c>
      <c r="C3" s="20" t="s">
        <v>218</v>
      </c>
      <c r="D3" s="19">
        <v>26</v>
      </c>
      <c r="E3" s="19">
        <v>21</v>
      </c>
      <c r="F3" s="19">
        <v>13</v>
      </c>
      <c r="G3" s="20">
        <f t="shared" ref="G3:G34" si="0">F3*1.1+E3*2.1+D3*3.1</f>
        <v>139</v>
      </c>
      <c r="H3" s="22">
        <f t="shared" ref="H3:H34" si="1">G3/189</f>
        <v>0.73544973544973546</v>
      </c>
      <c r="I3" s="20" t="s">
        <v>212</v>
      </c>
      <c r="J3" s="24"/>
      <c r="K3" s="20"/>
    </row>
    <row r="4" spans="1:11" ht="17.25" x14ac:dyDescent="0.25">
      <c r="A4" s="21">
        <v>2</v>
      </c>
      <c r="B4" s="20" t="s">
        <v>64</v>
      </c>
      <c r="C4" s="20" t="s">
        <v>218</v>
      </c>
      <c r="D4" s="20">
        <v>23</v>
      </c>
      <c r="E4" s="20">
        <v>23</v>
      </c>
      <c r="F4" s="20">
        <v>17</v>
      </c>
      <c r="G4" s="20">
        <f t="shared" si="0"/>
        <v>138.30000000000001</v>
      </c>
      <c r="H4" s="22">
        <f t="shared" si="1"/>
        <v>0.73174603174603181</v>
      </c>
      <c r="I4" s="20" t="s">
        <v>213</v>
      </c>
      <c r="J4" s="24"/>
      <c r="K4" s="20"/>
    </row>
    <row r="5" spans="1:11" ht="17.25" x14ac:dyDescent="0.25">
      <c r="A5" s="21">
        <v>3</v>
      </c>
      <c r="B5" s="20" t="s">
        <v>87</v>
      </c>
      <c r="C5" s="20" t="s">
        <v>218</v>
      </c>
      <c r="D5" s="20">
        <v>22</v>
      </c>
      <c r="E5" s="20">
        <v>23</v>
      </c>
      <c r="F5" s="20">
        <v>15</v>
      </c>
      <c r="G5" s="20">
        <f t="shared" si="0"/>
        <v>133</v>
      </c>
      <c r="H5" s="22">
        <f t="shared" si="1"/>
        <v>0.70370370370370372</v>
      </c>
      <c r="I5" s="20" t="s">
        <v>213</v>
      </c>
      <c r="J5" s="24"/>
      <c r="K5" s="20"/>
    </row>
    <row r="6" spans="1:11" ht="17.25" x14ac:dyDescent="0.25">
      <c r="A6" s="21">
        <v>4</v>
      </c>
      <c r="B6" s="20" t="s">
        <v>4</v>
      </c>
      <c r="C6" s="20" t="s">
        <v>218</v>
      </c>
      <c r="D6" s="20">
        <v>24</v>
      </c>
      <c r="E6" s="20">
        <v>16</v>
      </c>
      <c r="F6" s="20">
        <v>22</v>
      </c>
      <c r="G6" s="20">
        <f t="shared" si="0"/>
        <v>132.20000000000002</v>
      </c>
      <c r="H6" s="22">
        <f t="shared" si="1"/>
        <v>0.69947089947089958</v>
      </c>
      <c r="I6" s="20" t="s">
        <v>212</v>
      </c>
      <c r="J6" s="24"/>
      <c r="K6" s="20"/>
    </row>
    <row r="7" spans="1:11" ht="17.25" x14ac:dyDescent="0.25">
      <c r="A7" s="21">
        <v>5</v>
      </c>
      <c r="B7" s="20" t="s">
        <v>172</v>
      </c>
      <c r="C7" s="20" t="s">
        <v>218</v>
      </c>
      <c r="D7" s="20">
        <v>24</v>
      </c>
      <c r="E7" s="20">
        <v>21</v>
      </c>
      <c r="F7" s="20">
        <v>12</v>
      </c>
      <c r="G7" s="20">
        <f t="shared" si="0"/>
        <v>131.70000000000002</v>
      </c>
      <c r="H7" s="22">
        <f t="shared" si="1"/>
        <v>0.6968253968253969</v>
      </c>
      <c r="I7" s="20" t="s">
        <v>212</v>
      </c>
      <c r="J7" s="24"/>
      <c r="K7" s="20"/>
    </row>
    <row r="8" spans="1:11" ht="17.25" x14ac:dyDescent="0.25">
      <c r="A8" s="21">
        <v>6</v>
      </c>
      <c r="B8" s="20" t="s">
        <v>131</v>
      </c>
      <c r="C8" s="20" t="s">
        <v>218</v>
      </c>
      <c r="D8" s="20">
        <v>25</v>
      </c>
      <c r="E8" s="20">
        <v>19</v>
      </c>
      <c r="F8" s="20">
        <v>13</v>
      </c>
      <c r="G8" s="20">
        <f t="shared" si="0"/>
        <v>131.69999999999999</v>
      </c>
      <c r="H8" s="22">
        <f t="shared" si="1"/>
        <v>0.69682539682539679</v>
      </c>
      <c r="I8" s="20" t="s">
        <v>213</v>
      </c>
      <c r="J8" s="24"/>
      <c r="K8" s="20"/>
    </row>
    <row r="9" spans="1:11" ht="17.25" x14ac:dyDescent="0.25">
      <c r="A9" s="21">
        <v>7</v>
      </c>
      <c r="B9" s="20" t="s">
        <v>179</v>
      </c>
      <c r="C9" s="20" t="s">
        <v>218</v>
      </c>
      <c r="D9" s="19">
        <v>25</v>
      </c>
      <c r="E9" s="19">
        <v>16</v>
      </c>
      <c r="F9" s="19">
        <v>16</v>
      </c>
      <c r="G9" s="20">
        <f t="shared" si="0"/>
        <v>128.69999999999999</v>
      </c>
      <c r="H9" s="22">
        <f t="shared" si="1"/>
        <v>0.68095238095238086</v>
      </c>
      <c r="I9" s="20" t="s">
        <v>212</v>
      </c>
      <c r="J9" s="24"/>
      <c r="K9" s="20"/>
    </row>
    <row r="10" spans="1:11" ht="17.25" x14ac:dyDescent="0.25">
      <c r="A10" s="21">
        <v>8</v>
      </c>
      <c r="B10" s="20" t="s">
        <v>53</v>
      </c>
      <c r="C10" s="20" t="s">
        <v>218</v>
      </c>
      <c r="D10" s="20">
        <v>22</v>
      </c>
      <c r="E10" s="20">
        <v>17</v>
      </c>
      <c r="F10" s="20">
        <v>21</v>
      </c>
      <c r="G10" s="20">
        <f t="shared" si="0"/>
        <v>127</v>
      </c>
      <c r="H10" s="22">
        <f t="shared" si="1"/>
        <v>0.67195767195767198</v>
      </c>
      <c r="I10" s="20" t="s">
        <v>213</v>
      </c>
      <c r="J10" s="24"/>
      <c r="K10" s="20"/>
    </row>
    <row r="11" spans="1:11" ht="17.25" x14ac:dyDescent="0.25">
      <c r="A11" s="21">
        <v>9</v>
      </c>
      <c r="B11" s="20" t="s">
        <v>120</v>
      </c>
      <c r="C11" s="20" t="s">
        <v>218</v>
      </c>
      <c r="D11" s="20">
        <v>25</v>
      </c>
      <c r="E11" s="20">
        <v>11</v>
      </c>
      <c r="F11" s="20">
        <v>21</v>
      </c>
      <c r="G11" s="20">
        <f t="shared" si="0"/>
        <v>123.7</v>
      </c>
      <c r="H11" s="22">
        <f t="shared" si="1"/>
        <v>0.65449735449735447</v>
      </c>
      <c r="I11" s="20" t="s">
        <v>213</v>
      </c>
      <c r="J11" s="24"/>
      <c r="K11" s="20"/>
    </row>
    <row r="12" spans="1:11" ht="17.25" x14ac:dyDescent="0.25">
      <c r="A12" s="21">
        <v>10</v>
      </c>
      <c r="B12" s="20" t="s">
        <v>190</v>
      </c>
      <c r="C12" s="20" t="s">
        <v>218</v>
      </c>
      <c r="D12" s="19">
        <v>23</v>
      </c>
      <c r="E12" s="19">
        <v>17</v>
      </c>
      <c r="F12" s="19">
        <v>15</v>
      </c>
      <c r="G12" s="20">
        <f t="shared" si="0"/>
        <v>123.5</v>
      </c>
      <c r="H12" s="22">
        <f t="shared" si="1"/>
        <v>0.65343915343915349</v>
      </c>
      <c r="I12" s="20" t="s">
        <v>212</v>
      </c>
      <c r="J12" s="24"/>
      <c r="K12" s="20"/>
    </row>
    <row r="13" spans="1:11" ht="17.25" x14ac:dyDescent="0.25">
      <c r="A13" s="21">
        <v>11</v>
      </c>
      <c r="B13" s="20" t="s">
        <v>132</v>
      </c>
      <c r="C13" s="20" t="s">
        <v>218</v>
      </c>
      <c r="D13" s="20">
        <v>19</v>
      </c>
      <c r="E13" s="20">
        <v>25</v>
      </c>
      <c r="F13" s="20">
        <v>11</v>
      </c>
      <c r="G13" s="20">
        <f t="shared" si="0"/>
        <v>123.5</v>
      </c>
      <c r="H13" s="22">
        <f t="shared" si="1"/>
        <v>0.65343915343915349</v>
      </c>
      <c r="I13" s="20" t="s">
        <v>213</v>
      </c>
      <c r="J13" s="24"/>
      <c r="K13" s="20"/>
    </row>
    <row r="14" spans="1:11" ht="17.25" x14ac:dyDescent="0.25">
      <c r="A14" s="21">
        <v>12</v>
      </c>
      <c r="B14" s="20" t="s">
        <v>25</v>
      </c>
      <c r="C14" s="20" t="s">
        <v>218</v>
      </c>
      <c r="D14" s="20">
        <v>20</v>
      </c>
      <c r="E14" s="20">
        <v>23</v>
      </c>
      <c r="F14" s="20">
        <v>11</v>
      </c>
      <c r="G14" s="20">
        <f t="shared" si="0"/>
        <v>122.4</v>
      </c>
      <c r="H14" s="22">
        <f t="shared" si="1"/>
        <v>0.64761904761904765</v>
      </c>
      <c r="I14" s="20" t="s">
        <v>213</v>
      </c>
      <c r="J14" s="24"/>
      <c r="K14" s="20"/>
    </row>
    <row r="15" spans="1:11" ht="17.25" x14ac:dyDescent="0.25">
      <c r="A15" s="21">
        <v>13</v>
      </c>
      <c r="B15" s="20" t="s">
        <v>178</v>
      </c>
      <c r="C15" s="20" t="s">
        <v>218</v>
      </c>
      <c r="D15" s="20">
        <v>25</v>
      </c>
      <c r="E15" s="20">
        <v>16</v>
      </c>
      <c r="F15" s="20">
        <v>10</v>
      </c>
      <c r="G15" s="20">
        <f t="shared" si="0"/>
        <v>122.1</v>
      </c>
      <c r="H15" s="22">
        <f t="shared" si="1"/>
        <v>0.64603174603174596</v>
      </c>
      <c r="I15" s="20" t="s">
        <v>212</v>
      </c>
      <c r="J15" s="24"/>
      <c r="K15" s="20"/>
    </row>
    <row r="16" spans="1:11" ht="17.25" x14ac:dyDescent="0.25">
      <c r="A16" s="21">
        <v>14</v>
      </c>
      <c r="B16" s="20" t="s">
        <v>62</v>
      </c>
      <c r="C16" s="20" t="s">
        <v>218</v>
      </c>
      <c r="D16" s="20">
        <v>25</v>
      </c>
      <c r="E16" s="20">
        <v>11</v>
      </c>
      <c r="F16" s="20">
        <v>19</v>
      </c>
      <c r="G16" s="20">
        <f t="shared" si="0"/>
        <v>121.5</v>
      </c>
      <c r="H16" s="22">
        <f t="shared" si="1"/>
        <v>0.6428571428571429</v>
      </c>
      <c r="I16" s="20" t="s">
        <v>212</v>
      </c>
      <c r="J16" s="24"/>
      <c r="K16" s="20"/>
    </row>
    <row r="17" spans="1:11" ht="17.25" x14ac:dyDescent="0.25">
      <c r="A17" s="21">
        <v>15</v>
      </c>
      <c r="B17" s="20" t="s">
        <v>173</v>
      </c>
      <c r="C17" s="20" t="s">
        <v>218</v>
      </c>
      <c r="D17" s="20">
        <v>23</v>
      </c>
      <c r="E17" s="20">
        <v>17</v>
      </c>
      <c r="F17" s="20">
        <v>13</v>
      </c>
      <c r="G17" s="20">
        <f t="shared" si="0"/>
        <v>121.3</v>
      </c>
      <c r="H17" s="22">
        <f t="shared" si="1"/>
        <v>0.64179894179894181</v>
      </c>
      <c r="I17" s="20" t="s">
        <v>212</v>
      </c>
      <c r="J17" s="24"/>
      <c r="K17" s="20"/>
    </row>
    <row r="18" spans="1:11" ht="17.25" x14ac:dyDescent="0.25">
      <c r="A18" s="21">
        <v>16</v>
      </c>
      <c r="B18" s="20" t="s">
        <v>107</v>
      </c>
      <c r="C18" s="20" t="s">
        <v>218</v>
      </c>
      <c r="D18" s="20">
        <v>16</v>
      </c>
      <c r="E18" s="20">
        <v>26</v>
      </c>
      <c r="F18" s="20">
        <v>15</v>
      </c>
      <c r="G18" s="20">
        <f t="shared" si="0"/>
        <v>120.69999999999999</v>
      </c>
      <c r="H18" s="22">
        <f t="shared" si="1"/>
        <v>0.63862433862433854</v>
      </c>
      <c r="I18" s="20" t="s">
        <v>213</v>
      </c>
      <c r="J18" s="24"/>
      <c r="K18" s="20"/>
    </row>
    <row r="19" spans="1:11" ht="17.25" x14ac:dyDescent="0.25">
      <c r="A19" s="21">
        <v>17</v>
      </c>
      <c r="B19" s="20" t="s">
        <v>194</v>
      </c>
      <c r="C19" s="20" t="s">
        <v>218</v>
      </c>
      <c r="D19" s="19">
        <v>24</v>
      </c>
      <c r="E19" s="19">
        <v>12</v>
      </c>
      <c r="F19" s="19">
        <v>19</v>
      </c>
      <c r="G19" s="20">
        <f t="shared" si="0"/>
        <v>120.50000000000001</v>
      </c>
      <c r="H19" s="22">
        <f t="shared" si="1"/>
        <v>0.63756613756613767</v>
      </c>
      <c r="I19" s="20" t="s">
        <v>212</v>
      </c>
      <c r="J19" s="24"/>
      <c r="K19" s="20"/>
    </row>
    <row r="20" spans="1:11" ht="17.25" x14ac:dyDescent="0.25">
      <c r="A20" s="21">
        <v>18</v>
      </c>
      <c r="B20" s="20" t="s">
        <v>104</v>
      </c>
      <c r="C20" s="20" t="s">
        <v>218</v>
      </c>
      <c r="D20" s="20">
        <v>22</v>
      </c>
      <c r="E20" s="20">
        <v>17</v>
      </c>
      <c r="F20" s="20">
        <v>15</v>
      </c>
      <c r="G20" s="20">
        <f t="shared" si="0"/>
        <v>120.4</v>
      </c>
      <c r="H20" s="22">
        <f t="shared" si="1"/>
        <v>0.63703703703703707</v>
      </c>
      <c r="I20" s="20" t="s">
        <v>213</v>
      </c>
      <c r="J20" s="24"/>
      <c r="K20" s="20"/>
    </row>
    <row r="21" spans="1:11" ht="17.25" x14ac:dyDescent="0.25">
      <c r="A21" s="21">
        <v>19</v>
      </c>
      <c r="B21" s="20" t="s">
        <v>98</v>
      </c>
      <c r="C21" s="20" t="s">
        <v>218</v>
      </c>
      <c r="D21" s="20">
        <v>17</v>
      </c>
      <c r="E21" s="20">
        <v>25</v>
      </c>
      <c r="F21" s="20">
        <v>13</v>
      </c>
      <c r="G21" s="20">
        <f t="shared" si="0"/>
        <v>119.5</v>
      </c>
      <c r="H21" s="22">
        <f t="shared" si="1"/>
        <v>0.63227513227513232</v>
      </c>
      <c r="I21" s="20" t="s">
        <v>213</v>
      </c>
      <c r="J21" s="24"/>
      <c r="K21" s="20"/>
    </row>
    <row r="22" spans="1:11" ht="17.25" x14ac:dyDescent="0.25">
      <c r="A22" s="21">
        <v>20</v>
      </c>
      <c r="B22" s="20" t="s">
        <v>174</v>
      </c>
      <c r="C22" s="20" t="s">
        <v>218</v>
      </c>
      <c r="D22" s="20">
        <v>22</v>
      </c>
      <c r="E22" s="20">
        <v>17</v>
      </c>
      <c r="F22" s="20">
        <v>13</v>
      </c>
      <c r="G22" s="20">
        <f t="shared" si="0"/>
        <v>118.2</v>
      </c>
      <c r="H22" s="22">
        <f t="shared" si="1"/>
        <v>0.6253968253968254</v>
      </c>
      <c r="I22" s="20" t="s">
        <v>212</v>
      </c>
      <c r="J22" s="24"/>
      <c r="K22" s="20"/>
    </row>
    <row r="23" spans="1:11" ht="17.25" x14ac:dyDescent="0.25">
      <c r="A23" s="21">
        <v>21</v>
      </c>
      <c r="B23" s="20" t="s">
        <v>205</v>
      </c>
      <c r="C23" s="20" t="s">
        <v>218</v>
      </c>
      <c r="D23" s="19">
        <v>20</v>
      </c>
      <c r="E23" s="19">
        <v>22</v>
      </c>
      <c r="F23" s="19">
        <v>9</v>
      </c>
      <c r="G23" s="20">
        <f t="shared" si="0"/>
        <v>118.1</v>
      </c>
      <c r="H23" s="22">
        <f t="shared" si="1"/>
        <v>0.62486772486772479</v>
      </c>
      <c r="I23" s="20" t="s">
        <v>212</v>
      </c>
      <c r="J23" s="24"/>
      <c r="K23" s="20"/>
    </row>
    <row r="24" spans="1:11" ht="17.25" x14ac:dyDescent="0.25">
      <c r="A24" s="21">
        <v>22</v>
      </c>
      <c r="B24" s="20" t="s">
        <v>3</v>
      </c>
      <c r="C24" s="20" t="s">
        <v>218</v>
      </c>
      <c r="D24" s="20">
        <v>21</v>
      </c>
      <c r="E24" s="20">
        <v>15</v>
      </c>
      <c r="F24" s="20">
        <v>18</v>
      </c>
      <c r="G24" s="20">
        <f t="shared" si="0"/>
        <v>116.4</v>
      </c>
      <c r="H24" s="22">
        <f t="shared" si="1"/>
        <v>0.61587301587301591</v>
      </c>
      <c r="I24" s="20" t="s">
        <v>213</v>
      </c>
      <c r="J24" s="24"/>
      <c r="K24" s="20"/>
    </row>
    <row r="25" spans="1:11" ht="17.25" x14ac:dyDescent="0.25">
      <c r="A25" s="21">
        <v>23</v>
      </c>
      <c r="B25" s="20" t="s">
        <v>192</v>
      </c>
      <c r="C25" s="20" t="s">
        <v>218</v>
      </c>
      <c r="D25" s="19">
        <v>20</v>
      </c>
      <c r="E25" s="19">
        <v>20</v>
      </c>
      <c r="F25" s="19">
        <v>11</v>
      </c>
      <c r="G25" s="20">
        <f t="shared" si="0"/>
        <v>116.1</v>
      </c>
      <c r="H25" s="22">
        <f t="shared" si="1"/>
        <v>0.61428571428571421</v>
      </c>
      <c r="I25" s="20" t="s">
        <v>212</v>
      </c>
      <c r="J25" s="24"/>
      <c r="K25" s="20"/>
    </row>
    <row r="26" spans="1:11" ht="17.25" x14ac:dyDescent="0.25">
      <c r="A26" s="21">
        <v>24</v>
      </c>
      <c r="B26" s="20" t="s">
        <v>110</v>
      </c>
      <c r="C26" s="20" t="s">
        <v>218</v>
      </c>
      <c r="D26" s="20">
        <v>22</v>
      </c>
      <c r="E26" s="20">
        <v>15</v>
      </c>
      <c r="F26" s="20">
        <v>14</v>
      </c>
      <c r="G26" s="20">
        <f t="shared" si="0"/>
        <v>115.10000000000001</v>
      </c>
      <c r="H26" s="22">
        <f t="shared" si="1"/>
        <v>0.60899470899470909</v>
      </c>
      <c r="I26" s="20" t="s">
        <v>213</v>
      </c>
      <c r="J26" s="24"/>
      <c r="K26" s="20"/>
    </row>
    <row r="27" spans="1:11" ht="17.25" x14ac:dyDescent="0.25">
      <c r="A27" s="21">
        <v>25</v>
      </c>
      <c r="B27" s="20" t="s">
        <v>184</v>
      </c>
      <c r="C27" s="20" t="s">
        <v>218</v>
      </c>
      <c r="D27" s="19">
        <v>17</v>
      </c>
      <c r="E27" s="19">
        <v>21</v>
      </c>
      <c r="F27" s="19">
        <v>16</v>
      </c>
      <c r="G27" s="20">
        <f t="shared" si="0"/>
        <v>114.4</v>
      </c>
      <c r="H27" s="22">
        <f t="shared" si="1"/>
        <v>0.60529100529100532</v>
      </c>
      <c r="I27" s="20" t="s">
        <v>212</v>
      </c>
      <c r="J27" s="24"/>
      <c r="K27" s="20"/>
    </row>
    <row r="28" spans="1:11" ht="17.25" x14ac:dyDescent="0.25">
      <c r="A28" s="21">
        <v>26</v>
      </c>
      <c r="B28" s="20" t="s">
        <v>30</v>
      </c>
      <c r="C28" s="20" t="s">
        <v>218</v>
      </c>
      <c r="D28" s="20">
        <v>24</v>
      </c>
      <c r="E28" s="20">
        <v>14</v>
      </c>
      <c r="F28" s="20">
        <v>6</v>
      </c>
      <c r="G28" s="20">
        <f t="shared" si="0"/>
        <v>110.4</v>
      </c>
      <c r="H28" s="22">
        <f t="shared" si="1"/>
        <v>0.58412698412698416</v>
      </c>
      <c r="I28" s="20" t="s">
        <v>213</v>
      </c>
      <c r="J28" s="24"/>
      <c r="K28" s="20"/>
    </row>
    <row r="29" spans="1:11" ht="17.25" x14ac:dyDescent="0.25">
      <c r="A29" s="21">
        <v>27</v>
      </c>
      <c r="B29" s="20" t="s">
        <v>90</v>
      </c>
      <c r="C29" s="20" t="s">
        <v>218</v>
      </c>
      <c r="D29" s="20">
        <v>25</v>
      </c>
      <c r="E29" s="20">
        <v>8</v>
      </c>
      <c r="F29" s="20">
        <v>14</v>
      </c>
      <c r="G29" s="20">
        <f t="shared" si="0"/>
        <v>109.7</v>
      </c>
      <c r="H29" s="22">
        <f t="shared" si="1"/>
        <v>0.5804232804232804</v>
      </c>
      <c r="I29" s="20" t="s">
        <v>213</v>
      </c>
      <c r="J29" s="24"/>
      <c r="K29" s="20"/>
    </row>
    <row r="30" spans="1:11" ht="17.25" x14ac:dyDescent="0.25">
      <c r="A30" s="21">
        <v>28</v>
      </c>
      <c r="B30" s="20" t="s">
        <v>176</v>
      </c>
      <c r="C30" s="20" t="s">
        <v>218</v>
      </c>
      <c r="D30" s="20">
        <v>24</v>
      </c>
      <c r="E30" s="20">
        <v>12</v>
      </c>
      <c r="F30" s="20">
        <v>9</v>
      </c>
      <c r="G30" s="20">
        <f t="shared" si="0"/>
        <v>109.5</v>
      </c>
      <c r="H30" s="22">
        <f t="shared" si="1"/>
        <v>0.57936507936507942</v>
      </c>
      <c r="I30" s="20" t="s">
        <v>212</v>
      </c>
      <c r="J30" s="24"/>
      <c r="K30" s="20"/>
    </row>
    <row r="31" spans="1:11" ht="17.25" x14ac:dyDescent="0.25">
      <c r="A31" s="21">
        <v>29</v>
      </c>
      <c r="B31" s="20" t="s">
        <v>198</v>
      </c>
      <c r="C31" s="20" t="s">
        <v>218</v>
      </c>
      <c r="D31" s="19">
        <v>23</v>
      </c>
      <c r="E31" s="19">
        <v>13</v>
      </c>
      <c r="F31" s="19">
        <v>9</v>
      </c>
      <c r="G31" s="20">
        <f t="shared" si="0"/>
        <v>108.5</v>
      </c>
      <c r="H31" s="22">
        <f t="shared" si="1"/>
        <v>0.57407407407407407</v>
      </c>
      <c r="I31" s="20" t="s">
        <v>212</v>
      </c>
      <c r="J31" s="24"/>
      <c r="K31" s="20"/>
    </row>
    <row r="32" spans="1:11" ht="17.25" x14ac:dyDescent="0.25">
      <c r="A32" s="21">
        <v>30</v>
      </c>
      <c r="B32" s="20" t="s">
        <v>101</v>
      </c>
      <c r="C32" s="20" t="s">
        <v>218</v>
      </c>
      <c r="D32" s="20">
        <v>22</v>
      </c>
      <c r="E32" s="20">
        <v>12</v>
      </c>
      <c r="F32" s="20">
        <v>13</v>
      </c>
      <c r="G32" s="20">
        <f t="shared" si="0"/>
        <v>107.7</v>
      </c>
      <c r="H32" s="22">
        <f t="shared" si="1"/>
        <v>0.56984126984126982</v>
      </c>
      <c r="I32" s="20" t="s">
        <v>213</v>
      </c>
      <c r="J32" s="24"/>
      <c r="K32" s="20"/>
    </row>
    <row r="33" spans="1:11" ht="17.25" x14ac:dyDescent="0.25">
      <c r="A33" s="21">
        <v>31</v>
      </c>
      <c r="B33" s="20" t="s">
        <v>187</v>
      </c>
      <c r="C33" s="20" t="s">
        <v>218</v>
      </c>
      <c r="D33" s="19">
        <v>17</v>
      </c>
      <c r="E33" s="19">
        <v>22</v>
      </c>
      <c r="F33" s="19">
        <v>8</v>
      </c>
      <c r="G33" s="20">
        <f t="shared" si="0"/>
        <v>107.7</v>
      </c>
      <c r="H33" s="22">
        <f t="shared" si="1"/>
        <v>0.56984126984126982</v>
      </c>
      <c r="I33" s="20" t="s">
        <v>212</v>
      </c>
      <c r="J33" s="24"/>
      <c r="K33" s="20"/>
    </row>
    <row r="34" spans="1:11" ht="17.25" x14ac:dyDescent="0.25">
      <c r="A34" s="21">
        <v>32</v>
      </c>
      <c r="B34" s="20" t="s">
        <v>195</v>
      </c>
      <c r="C34" s="20" t="s">
        <v>218</v>
      </c>
      <c r="D34" s="19">
        <v>22</v>
      </c>
      <c r="E34" s="19">
        <v>15</v>
      </c>
      <c r="F34" s="19">
        <v>7</v>
      </c>
      <c r="G34" s="20">
        <f t="shared" si="0"/>
        <v>107.4</v>
      </c>
      <c r="H34" s="22">
        <f t="shared" si="1"/>
        <v>0.56825396825396823</v>
      </c>
      <c r="I34" s="20" t="s">
        <v>212</v>
      </c>
      <c r="J34" s="24"/>
      <c r="K34" s="20"/>
    </row>
    <row r="35" spans="1:11" ht="17.25" x14ac:dyDescent="0.25">
      <c r="A35" s="21">
        <v>33</v>
      </c>
      <c r="B35" s="20" t="s">
        <v>188</v>
      </c>
      <c r="C35" s="20" t="s">
        <v>218</v>
      </c>
      <c r="D35" s="19">
        <v>18</v>
      </c>
      <c r="E35" s="19">
        <v>19</v>
      </c>
      <c r="F35" s="19">
        <v>9</v>
      </c>
      <c r="G35" s="20">
        <f t="shared" ref="G35:G66" si="2">F35*1.1+E35*2.1+D35*3.1</f>
        <v>105.6</v>
      </c>
      <c r="H35" s="22">
        <f t="shared" ref="H35:H66" si="3">G35/189</f>
        <v>0.55873015873015874</v>
      </c>
      <c r="I35" s="20" t="s">
        <v>212</v>
      </c>
      <c r="J35" s="24"/>
      <c r="K35" s="20"/>
    </row>
    <row r="36" spans="1:11" ht="17.25" x14ac:dyDescent="0.25">
      <c r="A36" s="21">
        <v>34</v>
      </c>
      <c r="B36" s="20" t="s">
        <v>128</v>
      </c>
      <c r="C36" s="20" t="s">
        <v>218</v>
      </c>
      <c r="D36" s="20">
        <v>14</v>
      </c>
      <c r="E36" s="20">
        <v>20</v>
      </c>
      <c r="F36" s="20">
        <v>18</v>
      </c>
      <c r="G36" s="20">
        <f t="shared" si="2"/>
        <v>105.19999999999999</v>
      </c>
      <c r="H36" s="22">
        <f t="shared" si="3"/>
        <v>0.55661375661375656</v>
      </c>
      <c r="I36" s="20" t="s">
        <v>213</v>
      </c>
      <c r="J36" s="24"/>
      <c r="K36" s="20"/>
    </row>
    <row r="37" spans="1:11" ht="17.25" x14ac:dyDescent="0.25">
      <c r="A37" s="21">
        <v>35</v>
      </c>
      <c r="B37" s="20" t="s">
        <v>191</v>
      </c>
      <c r="C37" s="20" t="s">
        <v>218</v>
      </c>
      <c r="D37" s="19">
        <v>23</v>
      </c>
      <c r="E37" s="19">
        <v>11</v>
      </c>
      <c r="F37" s="19">
        <v>7</v>
      </c>
      <c r="G37" s="20">
        <f t="shared" si="2"/>
        <v>102.1</v>
      </c>
      <c r="H37" s="22">
        <f t="shared" si="3"/>
        <v>0.54021164021164014</v>
      </c>
      <c r="I37" s="20" t="s">
        <v>212</v>
      </c>
      <c r="J37" s="24"/>
      <c r="K37" s="20"/>
    </row>
    <row r="38" spans="1:11" ht="17.25" x14ac:dyDescent="0.25">
      <c r="A38" s="21">
        <v>36</v>
      </c>
      <c r="B38" s="20" t="s">
        <v>78</v>
      </c>
      <c r="C38" s="20" t="s">
        <v>218</v>
      </c>
      <c r="D38" s="20">
        <v>23</v>
      </c>
      <c r="E38" s="20">
        <v>9</v>
      </c>
      <c r="F38" s="20">
        <v>8</v>
      </c>
      <c r="G38" s="20">
        <f t="shared" si="2"/>
        <v>99</v>
      </c>
      <c r="H38" s="22">
        <f t="shared" si="3"/>
        <v>0.52380952380952384</v>
      </c>
      <c r="I38" s="20" t="s">
        <v>213</v>
      </c>
      <c r="J38" s="24"/>
      <c r="K38" s="20"/>
    </row>
    <row r="39" spans="1:11" ht="17.25" x14ac:dyDescent="0.25">
      <c r="A39" s="21">
        <v>37</v>
      </c>
      <c r="B39" s="20" t="s">
        <v>177</v>
      </c>
      <c r="C39" s="20" t="s">
        <v>218</v>
      </c>
      <c r="D39" s="20">
        <v>17</v>
      </c>
      <c r="E39" s="20">
        <v>12</v>
      </c>
      <c r="F39" s="20">
        <v>19</v>
      </c>
      <c r="G39" s="20">
        <f t="shared" si="2"/>
        <v>98.800000000000011</v>
      </c>
      <c r="H39" s="22">
        <f t="shared" si="3"/>
        <v>0.52275132275132286</v>
      </c>
      <c r="I39" s="20" t="s">
        <v>212</v>
      </c>
      <c r="J39" s="24"/>
      <c r="K39" s="20"/>
    </row>
    <row r="40" spans="1:11" ht="17.25" x14ac:dyDescent="0.25">
      <c r="A40" s="21">
        <v>38</v>
      </c>
      <c r="B40" s="20" t="s">
        <v>185</v>
      </c>
      <c r="C40" s="20" t="s">
        <v>218</v>
      </c>
      <c r="D40" s="19">
        <v>20</v>
      </c>
      <c r="E40" s="19">
        <v>12</v>
      </c>
      <c r="F40" s="19">
        <v>10</v>
      </c>
      <c r="G40" s="20">
        <f t="shared" si="2"/>
        <v>98.2</v>
      </c>
      <c r="H40" s="22">
        <f t="shared" si="3"/>
        <v>0.51957671957671958</v>
      </c>
      <c r="I40" s="20" t="s">
        <v>212</v>
      </c>
      <c r="J40" s="24"/>
      <c r="K40" s="20"/>
    </row>
    <row r="41" spans="1:11" ht="17.25" x14ac:dyDescent="0.25">
      <c r="A41" s="21">
        <v>39</v>
      </c>
      <c r="B41" s="20" t="s">
        <v>193</v>
      </c>
      <c r="C41" s="20" t="s">
        <v>218</v>
      </c>
      <c r="D41" s="19">
        <v>21</v>
      </c>
      <c r="E41" s="19">
        <v>12</v>
      </c>
      <c r="F41" s="19">
        <v>6</v>
      </c>
      <c r="G41" s="20">
        <f t="shared" si="2"/>
        <v>96.9</v>
      </c>
      <c r="H41" s="22">
        <f t="shared" si="3"/>
        <v>0.51269841269841276</v>
      </c>
      <c r="I41" s="20" t="s">
        <v>212</v>
      </c>
      <c r="J41" s="24"/>
      <c r="K41" s="20"/>
    </row>
    <row r="42" spans="1:11" ht="17.25" x14ac:dyDescent="0.25">
      <c r="A42" s="21">
        <v>40</v>
      </c>
      <c r="B42" s="20" t="s">
        <v>138</v>
      </c>
      <c r="C42" s="20" t="s">
        <v>218</v>
      </c>
      <c r="D42" s="20">
        <v>18</v>
      </c>
      <c r="E42" s="20">
        <v>12</v>
      </c>
      <c r="F42" s="20">
        <v>14</v>
      </c>
      <c r="G42" s="20">
        <f t="shared" si="2"/>
        <v>96.4</v>
      </c>
      <c r="H42" s="22">
        <f t="shared" si="3"/>
        <v>0.51005291005291009</v>
      </c>
      <c r="I42" s="20" t="s">
        <v>213</v>
      </c>
      <c r="J42" s="24"/>
      <c r="K42" s="20"/>
    </row>
    <row r="43" spans="1:11" ht="17.25" x14ac:dyDescent="0.25">
      <c r="A43" s="21">
        <v>41</v>
      </c>
      <c r="B43" s="20" t="s">
        <v>22</v>
      </c>
      <c r="C43" s="20" t="s">
        <v>218</v>
      </c>
      <c r="D43" s="20">
        <v>15</v>
      </c>
      <c r="E43" s="20">
        <v>20</v>
      </c>
      <c r="F43" s="20">
        <v>7</v>
      </c>
      <c r="G43" s="20">
        <f t="shared" si="2"/>
        <v>96.2</v>
      </c>
      <c r="H43" s="22">
        <f t="shared" si="3"/>
        <v>0.508994708994709</v>
      </c>
      <c r="I43" s="20" t="s">
        <v>213</v>
      </c>
      <c r="J43" s="24"/>
      <c r="K43" s="20"/>
    </row>
    <row r="44" spans="1:11" ht="17.25" x14ac:dyDescent="0.25">
      <c r="A44" s="21">
        <v>42</v>
      </c>
      <c r="B44" s="20" t="s">
        <v>200</v>
      </c>
      <c r="C44" s="20" t="s">
        <v>218</v>
      </c>
      <c r="D44" s="19">
        <v>18</v>
      </c>
      <c r="E44" s="19">
        <v>13</v>
      </c>
      <c r="F44" s="19">
        <v>11</v>
      </c>
      <c r="G44" s="20">
        <f t="shared" si="2"/>
        <v>95.200000000000017</v>
      </c>
      <c r="H44" s="22">
        <f t="shared" si="3"/>
        <v>0.50370370370370376</v>
      </c>
      <c r="I44" s="20" t="s">
        <v>212</v>
      </c>
      <c r="J44" s="24"/>
      <c r="K44" s="20"/>
    </row>
    <row r="45" spans="1:11" ht="17.25" x14ac:dyDescent="0.25">
      <c r="A45" s="21">
        <v>43</v>
      </c>
      <c r="B45" s="20" t="s">
        <v>202</v>
      </c>
      <c r="C45" s="20" t="s">
        <v>218</v>
      </c>
      <c r="D45" s="19">
        <v>19</v>
      </c>
      <c r="E45" s="19">
        <v>11</v>
      </c>
      <c r="F45" s="19">
        <v>12</v>
      </c>
      <c r="G45" s="20">
        <f t="shared" si="2"/>
        <v>95.2</v>
      </c>
      <c r="H45" s="22">
        <f t="shared" si="3"/>
        <v>0.50370370370370376</v>
      </c>
      <c r="I45" s="20" t="s">
        <v>212</v>
      </c>
      <c r="J45" s="24"/>
      <c r="K45" s="20"/>
    </row>
    <row r="46" spans="1:11" ht="17.25" x14ac:dyDescent="0.25">
      <c r="A46" s="21">
        <v>44</v>
      </c>
      <c r="B46" s="20" t="s">
        <v>180</v>
      </c>
      <c r="C46" s="20" t="s">
        <v>218</v>
      </c>
      <c r="D46" s="19">
        <v>23</v>
      </c>
      <c r="E46" s="19">
        <v>8</v>
      </c>
      <c r="F46" s="19">
        <v>6</v>
      </c>
      <c r="G46" s="20">
        <f t="shared" si="2"/>
        <v>94.7</v>
      </c>
      <c r="H46" s="22">
        <f t="shared" si="3"/>
        <v>0.50105820105820109</v>
      </c>
      <c r="I46" s="20" t="s">
        <v>212</v>
      </c>
      <c r="J46" s="24"/>
      <c r="K46" s="20"/>
    </row>
    <row r="47" spans="1:11" ht="17.25" x14ac:dyDescent="0.25">
      <c r="A47" s="21">
        <v>45</v>
      </c>
      <c r="B47" s="20" t="s">
        <v>204</v>
      </c>
      <c r="C47" s="20" t="s">
        <v>218</v>
      </c>
      <c r="D47" s="19">
        <v>20</v>
      </c>
      <c r="E47" s="19">
        <v>11</v>
      </c>
      <c r="F47" s="19">
        <v>8</v>
      </c>
      <c r="G47" s="20">
        <f t="shared" si="2"/>
        <v>93.9</v>
      </c>
      <c r="H47" s="22">
        <f t="shared" si="3"/>
        <v>0.49682539682539684</v>
      </c>
      <c r="I47" s="20" t="s">
        <v>212</v>
      </c>
      <c r="J47" s="24"/>
      <c r="K47" s="20"/>
    </row>
    <row r="48" spans="1:11" ht="17.25" x14ac:dyDescent="0.25">
      <c r="A48" s="21">
        <v>46</v>
      </c>
      <c r="B48" s="20" t="s">
        <v>209</v>
      </c>
      <c r="C48" s="20" t="s">
        <v>218</v>
      </c>
      <c r="D48" s="19">
        <v>18</v>
      </c>
      <c r="E48" s="19">
        <v>15</v>
      </c>
      <c r="F48" s="19">
        <v>6</v>
      </c>
      <c r="G48" s="20">
        <f t="shared" si="2"/>
        <v>93.9</v>
      </c>
      <c r="H48" s="22">
        <f t="shared" si="3"/>
        <v>0.49682539682539684</v>
      </c>
      <c r="I48" s="20" t="s">
        <v>212</v>
      </c>
      <c r="J48" s="24"/>
      <c r="K48" s="20"/>
    </row>
    <row r="49" spans="1:11" ht="17.25" x14ac:dyDescent="0.25">
      <c r="A49" s="21">
        <v>47</v>
      </c>
      <c r="B49" s="20" t="s">
        <v>186</v>
      </c>
      <c r="C49" s="20" t="s">
        <v>218</v>
      </c>
      <c r="D49" s="19">
        <v>19</v>
      </c>
      <c r="E49" s="19">
        <v>8</v>
      </c>
      <c r="F49" s="19">
        <v>16</v>
      </c>
      <c r="G49" s="20">
        <f t="shared" si="2"/>
        <v>93.300000000000011</v>
      </c>
      <c r="H49" s="22">
        <f t="shared" si="3"/>
        <v>0.49365079365079373</v>
      </c>
      <c r="I49" s="20" t="s">
        <v>212</v>
      </c>
      <c r="J49" s="24"/>
      <c r="K49" s="20"/>
    </row>
    <row r="50" spans="1:11" ht="17.25" x14ac:dyDescent="0.25">
      <c r="A50" s="21">
        <v>48</v>
      </c>
      <c r="B50" s="20" t="s">
        <v>60</v>
      </c>
      <c r="C50" s="20" t="s">
        <v>218</v>
      </c>
      <c r="D50" s="20">
        <v>12</v>
      </c>
      <c r="E50" s="20">
        <v>17</v>
      </c>
      <c r="F50" s="20">
        <v>18</v>
      </c>
      <c r="G50" s="20">
        <f t="shared" si="2"/>
        <v>92.7</v>
      </c>
      <c r="H50" s="22">
        <f t="shared" si="3"/>
        <v>0.49047619047619051</v>
      </c>
      <c r="I50" s="20" t="s">
        <v>212</v>
      </c>
      <c r="J50" s="24"/>
      <c r="K50" s="20"/>
    </row>
    <row r="51" spans="1:11" ht="17.25" x14ac:dyDescent="0.25">
      <c r="A51" s="21">
        <v>49</v>
      </c>
      <c r="B51" s="20" t="s">
        <v>189</v>
      </c>
      <c r="C51" s="20" t="s">
        <v>218</v>
      </c>
      <c r="D51" s="19">
        <v>15</v>
      </c>
      <c r="E51" s="19">
        <v>18</v>
      </c>
      <c r="F51" s="19">
        <v>7</v>
      </c>
      <c r="G51" s="20">
        <f t="shared" si="2"/>
        <v>92</v>
      </c>
      <c r="H51" s="22">
        <f t="shared" si="3"/>
        <v>0.48677248677248675</v>
      </c>
      <c r="I51" s="20" t="s">
        <v>212</v>
      </c>
      <c r="J51" s="24"/>
      <c r="K51" s="20"/>
    </row>
    <row r="52" spans="1:11" ht="17.25" x14ac:dyDescent="0.25">
      <c r="A52" s="21">
        <v>50</v>
      </c>
      <c r="B52" s="20" t="s">
        <v>8</v>
      </c>
      <c r="C52" s="20" t="s">
        <v>218</v>
      </c>
      <c r="D52" s="20">
        <v>11</v>
      </c>
      <c r="E52" s="20">
        <v>19</v>
      </c>
      <c r="F52" s="20">
        <v>16</v>
      </c>
      <c r="G52" s="20">
        <f t="shared" si="2"/>
        <v>91.6</v>
      </c>
      <c r="H52" s="22">
        <f t="shared" si="3"/>
        <v>0.48465608465608462</v>
      </c>
      <c r="I52" s="20" t="s">
        <v>213</v>
      </c>
      <c r="J52" s="24"/>
      <c r="K52" s="20"/>
    </row>
    <row r="53" spans="1:11" ht="17.25" x14ac:dyDescent="0.25">
      <c r="A53" s="21">
        <v>51</v>
      </c>
      <c r="B53" s="20" t="s">
        <v>5</v>
      </c>
      <c r="C53" s="20" t="s">
        <v>218</v>
      </c>
      <c r="D53" s="20">
        <v>15</v>
      </c>
      <c r="E53" s="20">
        <v>12</v>
      </c>
      <c r="F53" s="20">
        <v>17</v>
      </c>
      <c r="G53" s="20">
        <f t="shared" si="2"/>
        <v>90.4</v>
      </c>
      <c r="H53" s="22">
        <f t="shared" si="3"/>
        <v>0.47830687830687835</v>
      </c>
      <c r="I53" s="20" t="s">
        <v>213</v>
      </c>
      <c r="J53" s="24"/>
      <c r="K53" s="20"/>
    </row>
    <row r="54" spans="1:11" ht="17.25" x14ac:dyDescent="0.25">
      <c r="A54" s="21">
        <v>52</v>
      </c>
      <c r="B54" s="20" t="s">
        <v>214</v>
      </c>
      <c r="C54" s="20" t="s">
        <v>218</v>
      </c>
      <c r="D54" s="20">
        <v>14</v>
      </c>
      <c r="E54" s="20">
        <v>12</v>
      </c>
      <c r="F54" s="20">
        <v>19</v>
      </c>
      <c r="G54" s="20">
        <f t="shared" si="2"/>
        <v>89.5</v>
      </c>
      <c r="H54" s="22">
        <f t="shared" si="3"/>
        <v>0.47354497354497355</v>
      </c>
      <c r="I54" s="20" t="s">
        <v>213</v>
      </c>
      <c r="J54" s="24"/>
      <c r="K54" s="20"/>
    </row>
    <row r="55" spans="1:11" ht="17.25" x14ac:dyDescent="0.25">
      <c r="A55" s="21">
        <v>53</v>
      </c>
      <c r="B55" s="20" t="s">
        <v>122</v>
      </c>
      <c r="C55" s="20" t="s">
        <v>218</v>
      </c>
      <c r="D55" s="19">
        <v>18</v>
      </c>
      <c r="E55" s="19">
        <v>10</v>
      </c>
      <c r="F55" s="19">
        <v>11</v>
      </c>
      <c r="G55" s="20">
        <f t="shared" si="2"/>
        <v>88.9</v>
      </c>
      <c r="H55" s="22">
        <f t="shared" si="3"/>
        <v>0.47037037037037038</v>
      </c>
      <c r="I55" s="20" t="s">
        <v>212</v>
      </c>
      <c r="J55" s="24"/>
      <c r="K55" s="20"/>
    </row>
    <row r="56" spans="1:11" ht="17.25" x14ac:dyDescent="0.25">
      <c r="A56" s="21">
        <v>54</v>
      </c>
      <c r="B56" s="20" t="s">
        <v>66</v>
      </c>
      <c r="C56" s="20" t="s">
        <v>218</v>
      </c>
      <c r="D56" s="20">
        <v>20</v>
      </c>
      <c r="E56" s="20">
        <v>6</v>
      </c>
      <c r="F56" s="20">
        <v>13</v>
      </c>
      <c r="G56" s="20">
        <f t="shared" si="2"/>
        <v>88.9</v>
      </c>
      <c r="H56" s="22">
        <f t="shared" si="3"/>
        <v>0.47037037037037038</v>
      </c>
      <c r="I56" s="20" t="s">
        <v>213</v>
      </c>
      <c r="J56" s="24"/>
      <c r="K56" s="20"/>
    </row>
    <row r="57" spans="1:11" ht="17.25" x14ac:dyDescent="0.25">
      <c r="A57" s="21">
        <v>55</v>
      </c>
      <c r="B57" s="20" t="s">
        <v>41</v>
      </c>
      <c r="C57" s="20" t="s">
        <v>218</v>
      </c>
      <c r="D57" s="20">
        <v>19</v>
      </c>
      <c r="E57" s="20">
        <v>10</v>
      </c>
      <c r="F57" s="20">
        <v>8</v>
      </c>
      <c r="G57" s="20">
        <f t="shared" si="2"/>
        <v>88.7</v>
      </c>
      <c r="H57" s="22">
        <f t="shared" si="3"/>
        <v>0.46931216931216935</v>
      </c>
      <c r="I57" s="20" t="s">
        <v>213</v>
      </c>
      <c r="J57" s="24"/>
      <c r="K57" s="20"/>
    </row>
    <row r="58" spans="1:11" ht="17.25" x14ac:dyDescent="0.25">
      <c r="A58" s="21">
        <v>56</v>
      </c>
      <c r="B58" s="20" t="s">
        <v>199</v>
      </c>
      <c r="C58" s="20" t="s">
        <v>218</v>
      </c>
      <c r="D58" s="19">
        <v>17</v>
      </c>
      <c r="E58" s="19">
        <v>9</v>
      </c>
      <c r="F58" s="19">
        <v>15</v>
      </c>
      <c r="G58" s="20">
        <f t="shared" si="2"/>
        <v>88.100000000000009</v>
      </c>
      <c r="H58" s="22">
        <f t="shared" si="3"/>
        <v>0.46613756613756618</v>
      </c>
      <c r="I58" s="20" t="s">
        <v>212</v>
      </c>
      <c r="J58" s="24"/>
      <c r="K58" s="20"/>
    </row>
    <row r="59" spans="1:11" ht="17.25" x14ac:dyDescent="0.25">
      <c r="A59" s="21">
        <v>57</v>
      </c>
      <c r="B59" s="20" t="s">
        <v>201</v>
      </c>
      <c r="C59" s="20" t="s">
        <v>218</v>
      </c>
      <c r="D59" s="19">
        <v>18</v>
      </c>
      <c r="E59" s="19">
        <v>10</v>
      </c>
      <c r="F59" s="19">
        <v>9</v>
      </c>
      <c r="G59" s="20">
        <f t="shared" si="2"/>
        <v>86.7</v>
      </c>
      <c r="H59" s="22">
        <f t="shared" si="3"/>
        <v>0.45873015873015877</v>
      </c>
      <c r="I59" s="20" t="s">
        <v>212</v>
      </c>
      <c r="J59" s="24"/>
      <c r="K59" s="20"/>
    </row>
    <row r="60" spans="1:11" ht="17.25" x14ac:dyDescent="0.25">
      <c r="A60" s="21">
        <v>58</v>
      </c>
      <c r="B60" s="20" t="s">
        <v>211</v>
      </c>
      <c r="C60" s="20" t="s">
        <v>218</v>
      </c>
      <c r="D60" s="20">
        <v>20</v>
      </c>
      <c r="E60" s="20">
        <v>7</v>
      </c>
      <c r="F60" s="20">
        <v>7</v>
      </c>
      <c r="G60" s="20">
        <f t="shared" si="2"/>
        <v>84.4</v>
      </c>
      <c r="H60" s="22">
        <f t="shared" si="3"/>
        <v>0.4465608465608466</v>
      </c>
      <c r="I60" s="20" t="s">
        <v>213</v>
      </c>
      <c r="J60" s="24"/>
      <c r="K60" s="20"/>
    </row>
    <row r="61" spans="1:11" ht="17.25" x14ac:dyDescent="0.25">
      <c r="A61" s="21">
        <v>59</v>
      </c>
      <c r="B61" s="20" t="s">
        <v>6</v>
      </c>
      <c r="C61" s="20" t="s">
        <v>218</v>
      </c>
      <c r="D61" s="20">
        <v>13</v>
      </c>
      <c r="E61" s="20">
        <v>12</v>
      </c>
      <c r="F61" s="20">
        <v>15</v>
      </c>
      <c r="G61" s="20">
        <f t="shared" si="2"/>
        <v>82</v>
      </c>
      <c r="H61" s="22">
        <f t="shared" si="3"/>
        <v>0.43386243386243384</v>
      </c>
      <c r="I61" s="20" t="s">
        <v>213</v>
      </c>
      <c r="J61" s="24"/>
      <c r="K61" s="20"/>
    </row>
    <row r="62" spans="1:11" ht="17.25" x14ac:dyDescent="0.25">
      <c r="A62" s="21">
        <v>60</v>
      </c>
      <c r="B62" s="20" t="s">
        <v>1</v>
      </c>
      <c r="C62" s="20" t="s">
        <v>218</v>
      </c>
      <c r="D62" s="20">
        <v>11</v>
      </c>
      <c r="E62" s="20">
        <v>14</v>
      </c>
      <c r="F62" s="20">
        <v>15</v>
      </c>
      <c r="G62" s="20">
        <f t="shared" si="2"/>
        <v>80</v>
      </c>
      <c r="H62" s="22">
        <f t="shared" si="3"/>
        <v>0.42328042328042326</v>
      </c>
      <c r="I62" s="20" t="s">
        <v>213</v>
      </c>
      <c r="J62" s="24"/>
      <c r="K62" s="20"/>
    </row>
    <row r="63" spans="1:11" ht="17.25" x14ac:dyDescent="0.25">
      <c r="A63" s="21">
        <v>61</v>
      </c>
      <c r="B63" s="20" t="s">
        <v>206</v>
      </c>
      <c r="C63" s="20" t="s">
        <v>218</v>
      </c>
      <c r="D63" s="19">
        <v>15</v>
      </c>
      <c r="E63" s="19">
        <v>12</v>
      </c>
      <c r="F63" s="19">
        <v>7</v>
      </c>
      <c r="G63" s="20">
        <f t="shared" si="2"/>
        <v>79.400000000000006</v>
      </c>
      <c r="H63" s="22">
        <f t="shared" si="3"/>
        <v>0.42010582010582015</v>
      </c>
      <c r="I63" s="20" t="s">
        <v>212</v>
      </c>
      <c r="J63" s="24"/>
      <c r="K63" s="20"/>
    </row>
    <row r="64" spans="1:11" ht="17.25" x14ac:dyDescent="0.25">
      <c r="A64" s="21">
        <v>62</v>
      </c>
      <c r="B64" s="20" t="s">
        <v>196</v>
      </c>
      <c r="C64" s="20" t="s">
        <v>218</v>
      </c>
      <c r="D64" s="19">
        <v>15</v>
      </c>
      <c r="E64" s="19">
        <v>11</v>
      </c>
      <c r="F64" s="19">
        <v>8</v>
      </c>
      <c r="G64" s="20">
        <f t="shared" si="2"/>
        <v>78.400000000000006</v>
      </c>
      <c r="H64" s="22">
        <f t="shared" si="3"/>
        <v>0.41481481481481486</v>
      </c>
      <c r="I64" s="20" t="s">
        <v>212</v>
      </c>
      <c r="J64" s="24"/>
      <c r="K64" s="20"/>
    </row>
    <row r="65" spans="1:11" ht="17.25" x14ac:dyDescent="0.25">
      <c r="A65" s="21">
        <v>63</v>
      </c>
      <c r="B65" s="20" t="s">
        <v>175</v>
      </c>
      <c r="C65" s="20" t="s">
        <v>218</v>
      </c>
      <c r="D65" s="20">
        <v>17</v>
      </c>
      <c r="E65" s="20">
        <v>7</v>
      </c>
      <c r="F65" s="20">
        <v>8</v>
      </c>
      <c r="G65" s="20">
        <f t="shared" si="2"/>
        <v>76.2</v>
      </c>
      <c r="H65" s="22">
        <f t="shared" si="3"/>
        <v>0.40317460317460319</v>
      </c>
      <c r="I65" s="20" t="s">
        <v>212</v>
      </c>
      <c r="J65" s="24"/>
      <c r="K65" s="20"/>
    </row>
    <row r="66" spans="1:11" ht="17.25" x14ac:dyDescent="0.25">
      <c r="A66" s="21">
        <v>64</v>
      </c>
      <c r="B66" s="20" t="s">
        <v>181</v>
      </c>
      <c r="C66" s="20" t="s">
        <v>218</v>
      </c>
      <c r="D66" s="19">
        <v>16</v>
      </c>
      <c r="E66" s="19">
        <v>9</v>
      </c>
      <c r="F66" s="19">
        <v>4</v>
      </c>
      <c r="G66" s="20">
        <f t="shared" si="2"/>
        <v>72.900000000000006</v>
      </c>
      <c r="H66" s="22">
        <f t="shared" si="3"/>
        <v>0.38571428571428573</v>
      </c>
      <c r="I66" s="20" t="s">
        <v>212</v>
      </c>
      <c r="J66" s="24"/>
      <c r="K66" s="20"/>
    </row>
    <row r="67" spans="1:11" ht="17.25" x14ac:dyDescent="0.25">
      <c r="A67" s="21">
        <v>65</v>
      </c>
      <c r="B67" s="20" t="s">
        <v>134</v>
      </c>
      <c r="C67" s="20" t="s">
        <v>218</v>
      </c>
      <c r="D67" s="20">
        <v>13</v>
      </c>
      <c r="E67" s="20">
        <v>8</v>
      </c>
      <c r="F67" s="20">
        <v>10</v>
      </c>
      <c r="G67" s="20">
        <f t="shared" ref="G67:G98" si="4">F67*1.1+E67*2.1+D67*3.1</f>
        <v>68.100000000000009</v>
      </c>
      <c r="H67" s="22">
        <f t="shared" ref="H67:H98" si="5">G67/189</f>
        <v>0.36031746031746037</v>
      </c>
      <c r="I67" s="20" t="s">
        <v>213</v>
      </c>
      <c r="J67" s="24"/>
      <c r="K67" s="20"/>
    </row>
    <row r="68" spans="1:11" ht="17.25" x14ac:dyDescent="0.25">
      <c r="A68" s="21">
        <v>66</v>
      </c>
      <c r="B68" s="20" t="s">
        <v>182</v>
      </c>
      <c r="C68" s="20" t="s">
        <v>218</v>
      </c>
      <c r="D68" s="19">
        <v>15</v>
      </c>
      <c r="E68" s="19">
        <v>6</v>
      </c>
      <c r="F68" s="19">
        <v>6</v>
      </c>
      <c r="G68" s="20">
        <f t="shared" si="4"/>
        <v>65.7</v>
      </c>
      <c r="H68" s="22">
        <f t="shared" si="5"/>
        <v>0.34761904761904766</v>
      </c>
      <c r="I68" s="20" t="s">
        <v>212</v>
      </c>
      <c r="J68" s="24"/>
      <c r="K68" s="20"/>
    </row>
    <row r="69" spans="1:11" ht="17.25" x14ac:dyDescent="0.25">
      <c r="A69" s="21">
        <v>67</v>
      </c>
      <c r="B69" s="20" t="s">
        <v>197</v>
      </c>
      <c r="C69" s="20" t="s">
        <v>218</v>
      </c>
      <c r="D69" s="19">
        <v>15</v>
      </c>
      <c r="E69" s="19">
        <v>9</v>
      </c>
      <c r="F69" s="19">
        <v>10</v>
      </c>
      <c r="G69" s="20">
        <f t="shared" si="4"/>
        <v>76.400000000000006</v>
      </c>
      <c r="H69" s="22">
        <f t="shared" si="5"/>
        <v>0.40423280423280428</v>
      </c>
      <c r="I69" s="20" t="s">
        <v>212</v>
      </c>
      <c r="J69" s="24"/>
      <c r="K69" s="20"/>
    </row>
    <row r="70" spans="1:11" ht="17.25" x14ac:dyDescent="0.25">
      <c r="A70" s="21">
        <v>68</v>
      </c>
      <c r="B70" s="20" t="s">
        <v>208</v>
      </c>
      <c r="C70" s="20" t="s">
        <v>218</v>
      </c>
      <c r="D70" s="19">
        <v>5</v>
      </c>
      <c r="E70" s="19">
        <v>14</v>
      </c>
      <c r="F70" s="19">
        <v>7</v>
      </c>
      <c r="G70" s="20">
        <f t="shared" si="4"/>
        <v>52.6</v>
      </c>
      <c r="H70" s="22">
        <f t="shared" si="5"/>
        <v>0.27830687830687834</v>
      </c>
      <c r="I70" s="20" t="s">
        <v>212</v>
      </c>
      <c r="J70" s="24"/>
      <c r="K70" s="20"/>
    </row>
    <row r="71" spans="1:11" ht="17.25" x14ac:dyDescent="0.25">
      <c r="A71" s="21">
        <v>69</v>
      </c>
      <c r="B71" s="20" t="s">
        <v>203</v>
      </c>
      <c r="C71" s="20" t="s">
        <v>218</v>
      </c>
      <c r="D71" s="19">
        <v>14</v>
      </c>
      <c r="E71" s="19">
        <v>10</v>
      </c>
      <c r="F71" s="19">
        <v>8</v>
      </c>
      <c r="G71" s="20">
        <f t="shared" si="4"/>
        <v>73.2</v>
      </c>
      <c r="H71" s="22">
        <f t="shared" si="5"/>
        <v>0.38730158730158731</v>
      </c>
      <c r="I71" s="20" t="s">
        <v>212</v>
      </c>
      <c r="J71" s="24"/>
      <c r="K71" s="20"/>
    </row>
    <row r="72" spans="1:11" ht="17.25" x14ac:dyDescent="0.25">
      <c r="A72" s="21">
        <v>70</v>
      </c>
      <c r="B72" s="20" t="s">
        <v>130</v>
      </c>
      <c r="C72" s="20" t="s">
        <v>218</v>
      </c>
      <c r="D72" s="20"/>
      <c r="E72" s="20"/>
      <c r="F72" s="20"/>
      <c r="G72" s="20">
        <f t="shared" si="4"/>
        <v>0</v>
      </c>
      <c r="H72" s="22">
        <f t="shared" si="5"/>
        <v>0</v>
      </c>
      <c r="I72" s="20" t="s">
        <v>213</v>
      </c>
      <c r="J72" s="24"/>
      <c r="K72" s="20"/>
    </row>
    <row r="73" spans="1:11" ht="17.25" x14ac:dyDescent="0.25">
      <c r="A73" s="21">
        <v>71</v>
      </c>
      <c r="B73" s="20" t="s">
        <v>161</v>
      </c>
      <c r="C73" s="20" t="s">
        <v>218</v>
      </c>
      <c r="D73" s="20"/>
      <c r="E73" s="20"/>
      <c r="F73" s="20"/>
      <c r="G73" s="20">
        <f t="shared" si="4"/>
        <v>0</v>
      </c>
      <c r="H73" s="22">
        <f t="shared" si="5"/>
        <v>0</v>
      </c>
      <c r="I73" s="20" t="s">
        <v>215</v>
      </c>
      <c r="J73" s="24"/>
      <c r="K73" s="20"/>
    </row>
    <row r="74" spans="1:11" ht="17.25" x14ac:dyDescent="0.25">
      <c r="A74" s="21">
        <v>72</v>
      </c>
      <c r="B74" s="20" t="s">
        <v>140</v>
      </c>
      <c r="C74" s="20" t="s">
        <v>218</v>
      </c>
      <c r="D74" s="20"/>
      <c r="E74" s="20"/>
      <c r="F74" s="20"/>
      <c r="G74" s="20">
        <f t="shared" si="4"/>
        <v>0</v>
      </c>
      <c r="H74" s="22">
        <f t="shared" si="5"/>
        <v>0</v>
      </c>
      <c r="I74" s="20" t="s">
        <v>215</v>
      </c>
      <c r="J74" s="24"/>
      <c r="K74" s="20"/>
    </row>
    <row r="75" spans="1:11" ht="17.25" x14ac:dyDescent="0.25">
      <c r="A75" s="21">
        <v>73</v>
      </c>
      <c r="B75" s="20" t="s">
        <v>162</v>
      </c>
      <c r="C75" s="20" t="s">
        <v>218</v>
      </c>
      <c r="D75" s="20"/>
      <c r="E75" s="20"/>
      <c r="F75" s="20"/>
      <c r="G75" s="20">
        <f t="shared" si="4"/>
        <v>0</v>
      </c>
      <c r="H75" s="22">
        <f t="shared" si="5"/>
        <v>0</v>
      </c>
      <c r="I75" s="20" t="s">
        <v>215</v>
      </c>
      <c r="J75" s="24"/>
      <c r="K75" s="20"/>
    </row>
    <row r="76" spans="1:11" ht="17.25" x14ac:dyDescent="0.25">
      <c r="A76" s="21">
        <v>74</v>
      </c>
      <c r="B76" s="20" t="s">
        <v>150</v>
      </c>
      <c r="C76" s="20" t="s">
        <v>218</v>
      </c>
      <c r="D76" s="20"/>
      <c r="E76" s="20"/>
      <c r="F76" s="20"/>
      <c r="G76" s="20">
        <f t="shared" si="4"/>
        <v>0</v>
      </c>
      <c r="H76" s="22">
        <f t="shared" si="5"/>
        <v>0</v>
      </c>
      <c r="I76" s="20" t="s">
        <v>215</v>
      </c>
      <c r="J76" s="24"/>
      <c r="K76" s="20"/>
    </row>
    <row r="77" spans="1:11" ht="17.25" x14ac:dyDescent="0.25">
      <c r="A77" s="21">
        <v>75</v>
      </c>
      <c r="B77" s="20" t="s">
        <v>164</v>
      </c>
      <c r="C77" s="20" t="s">
        <v>218</v>
      </c>
      <c r="D77" s="20"/>
      <c r="E77" s="20"/>
      <c r="F77" s="20"/>
      <c r="G77" s="20">
        <f t="shared" si="4"/>
        <v>0</v>
      </c>
      <c r="H77" s="22">
        <f t="shared" si="5"/>
        <v>0</v>
      </c>
      <c r="I77" s="20" t="s">
        <v>215</v>
      </c>
      <c r="J77" s="24"/>
      <c r="K77" s="20"/>
    </row>
    <row r="78" spans="1:11" ht="17.25" x14ac:dyDescent="0.25">
      <c r="A78" s="21">
        <v>76</v>
      </c>
      <c r="B78" s="20" t="s">
        <v>154</v>
      </c>
      <c r="C78" s="20" t="s">
        <v>218</v>
      </c>
      <c r="D78" s="20"/>
      <c r="E78" s="20"/>
      <c r="F78" s="20"/>
      <c r="G78" s="20">
        <f t="shared" si="4"/>
        <v>0</v>
      </c>
      <c r="H78" s="22">
        <f t="shared" si="5"/>
        <v>0</v>
      </c>
      <c r="I78" s="25" t="s">
        <v>215</v>
      </c>
    </row>
    <row r="79" spans="1:11" ht="17.25" x14ac:dyDescent="0.25">
      <c r="A79" s="21">
        <v>77</v>
      </c>
      <c r="B79" s="20" t="s">
        <v>167</v>
      </c>
      <c r="C79" s="20" t="s">
        <v>218</v>
      </c>
      <c r="D79" s="20"/>
      <c r="E79" s="20"/>
      <c r="F79" s="20"/>
      <c r="G79" s="20">
        <f t="shared" si="4"/>
        <v>0</v>
      </c>
      <c r="H79" s="22">
        <f t="shared" si="5"/>
        <v>0</v>
      </c>
      <c r="I79" s="25" t="s">
        <v>215</v>
      </c>
    </row>
    <row r="80" spans="1:11" ht="17.25" x14ac:dyDescent="0.25">
      <c r="A80" s="21">
        <v>78</v>
      </c>
      <c r="B80" s="20" t="s">
        <v>163</v>
      </c>
      <c r="C80" s="20" t="s">
        <v>218</v>
      </c>
      <c r="D80" s="20"/>
      <c r="E80" s="20"/>
      <c r="F80" s="20"/>
      <c r="G80" s="20">
        <f t="shared" si="4"/>
        <v>0</v>
      </c>
      <c r="H80" s="22">
        <f t="shared" si="5"/>
        <v>0</v>
      </c>
      <c r="I80" s="25" t="s">
        <v>215</v>
      </c>
    </row>
    <row r="81" spans="1:9" ht="17.25" x14ac:dyDescent="0.25">
      <c r="A81" s="21">
        <v>79</v>
      </c>
      <c r="B81" s="20" t="s">
        <v>141</v>
      </c>
      <c r="C81" s="20" t="s">
        <v>218</v>
      </c>
      <c r="D81" s="20"/>
      <c r="E81" s="20"/>
      <c r="F81" s="20"/>
      <c r="G81" s="20">
        <f t="shared" si="4"/>
        <v>0</v>
      </c>
      <c r="H81" s="22">
        <f t="shared" si="5"/>
        <v>0</v>
      </c>
      <c r="I81" s="25" t="s">
        <v>215</v>
      </c>
    </row>
    <row r="82" spans="1:9" ht="17.25" x14ac:dyDescent="0.25">
      <c r="A82" s="21">
        <v>80</v>
      </c>
      <c r="B82" s="20" t="s">
        <v>166</v>
      </c>
      <c r="C82" s="20" t="s">
        <v>218</v>
      </c>
      <c r="D82" s="20"/>
      <c r="E82" s="20"/>
      <c r="F82" s="20"/>
      <c r="G82" s="20">
        <f t="shared" si="4"/>
        <v>0</v>
      </c>
      <c r="H82" s="22">
        <f t="shared" si="5"/>
        <v>0</v>
      </c>
      <c r="I82" s="25" t="s">
        <v>215</v>
      </c>
    </row>
    <row r="83" spans="1:9" ht="17.25" x14ac:dyDescent="0.25">
      <c r="A83" s="21">
        <v>81</v>
      </c>
      <c r="B83" s="20" t="s">
        <v>146</v>
      </c>
      <c r="C83" s="20" t="s">
        <v>218</v>
      </c>
      <c r="D83" s="20"/>
      <c r="E83" s="20"/>
      <c r="F83" s="20"/>
      <c r="G83" s="20">
        <f t="shared" si="4"/>
        <v>0</v>
      </c>
      <c r="H83" s="22">
        <f t="shared" si="5"/>
        <v>0</v>
      </c>
      <c r="I83" s="25" t="s">
        <v>215</v>
      </c>
    </row>
    <row r="84" spans="1:9" ht="17.25" x14ac:dyDescent="0.25">
      <c r="A84" s="21">
        <v>82</v>
      </c>
      <c r="B84" s="20" t="s">
        <v>84</v>
      </c>
      <c r="C84" s="20" t="s">
        <v>218</v>
      </c>
      <c r="D84" s="20"/>
      <c r="E84" s="20"/>
      <c r="F84" s="20"/>
      <c r="G84" s="20">
        <f t="shared" si="4"/>
        <v>0</v>
      </c>
      <c r="H84" s="22">
        <f t="shared" si="5"/>
        <v>0</v>
      </c>
      <c r="I84" s="25" t="s">
        <v>213</v>
      </c>
    </row>
    <row r="85" spans="1:9" ht="17.25" x14ac:dyDescent="0.25">
      <c r="A85" s="21">
        <v>83</v>
      </c>
      <c r="B85" s="20" t="s">
        <v>144</v>
      </c>
      <c r="C85" s="20" t="s">
        <v>218</v>
      </c>
      <c r="D85" s="20"/>
      <c r="E85" s="20"/>
      <c r="F85" s="20"/>
      <c r="G85" s="20">
        <f t="shared" si="4"/>
        <v>0</v>
      </c>
      <c r="H85" s="22">
        <f t="shared" si="5"/>
        <v>0</v>
      </c>
      <c r="I85" s="25" t="s">
        <v>215</v>
      </c>
    </row>
    <row r="86" spans="1:9" ht="17.25" x14ac:dyDescent="0.25">
      <c r="A86" s="21">
        <v>84</v>
      </c>
      <c r="B86" s="20" t="s">
        <v>149</v>
      </c>
      <c r="C86" s="20" t="s">
        <v>218</v>
      </c>
      <c r="D86" s="20"/>
      <c r="E86" s="20"/>
      <c r="F86" s="20"/>
      <c r="G86" s="20">
        <f t="shared" si="4"/>
        <v>0</v>
      </c>
      <c r="H86" s="22">
        <f t="shared" si="5"/>
        <v>0</v>
      </c>
      <c r="I86" s="25" t="s">
        <v>215</v>
      </c>
    </row>
    <row r="87" spans="1:9" ht="17.25" x14ac:dyDescent="0.25">
      <c r="A87" s="21">
        <v>85</v>
      </c>
      <c r="B87" s="20" t="s">
        <v>143</v>
      </c>
      <c r="C87" s="20" t="s">
        <v>218</v>
      </c>
      <c r="D87" s="20"/>
      <c r="E87" s="20"/>
      <c r="F87" s="20"/>
      <c r="G87" s="20">
        <f t="shared" si="4"/>
        <v>0</v>
      </c>
      <c r="H87" s="22">
        <f t="shared" si="5"/>
        <v>0</v>
      </c>
      <c r="I87" s="25" t="s">
        <v>215</v>
      </c>
    </row>
    <row r="88" spans="1:9" ht="17.25" x14ac:dyDescent="0.25">
      <c r="A88" s="21">
        <v>86</v>
      </c>
      <c r="B88" s="20" t="s">
        <v>155</v>
      </c>
      <c r="C88" s="20" t="s">
        <v>218</v>
      </c>
      <c r="D88" s="20"/>
      <c r="E88" s="20"/>
      <c r="F88" s="20"/>
      <c r="G88" s="20">
        <f t="shared" si="4"/>
        <v>0</v>
      </c>
      <c r="H88" s="22">
        <f t="shared" si="5"/>
        <v>0</v>
      </c>
      <c r="I88" s="25" t="s">
        <v>215</v>
      </c>
    </row>
    <row r="89" spans="1:9" ht="17.25" x14ac:dyDescent="0.25">
      <c r="A89" s="21">
        <v>87</v>
      </c>
      <c r="B89" s="20" t="s">
        <v>159</v>
      </c>
      <c r="C89" s="20" t="s">
        <v>218</v>
      </c>
      <c r="D89" s="20"/>
      <c r="E89" s="20"/>
      <c r="F89" s="20"/>
      <c r="G89" s="20">
        <f t="shared" si="4"/>
        <v>0</v>
      </c>
      <c r="H89" s="22">
        <f t="shared" si="5"/>
        <v>0</v>
      </c>
      <c r="I89" s="25" t="s">
        <v>215</v>
      </c>
    </row>
    <row r="90" spans="1:9" ht="17.25" x14ac:dyDescent="0.25">
      <c r="A90" s="21">
        <v>88</v>
      </c>
      <c r="B90" s="20" t="s">
        <v>139</v>
      </c>
      <c r="C90" s="20" t="s">
        <v>218</v>
      </c>
      <c r="D90" s="20"/>
      <c r="E90" s="20"/>
      <c r="F90" s="20"/>
      <c r="G90" s="20">
        <f t="shared" si="4"/>
        <v>0</v>
      </c>
      <c r="H90" s="22">
        <f t="shared" si="5"/>
        <v>0</v>
      </c>
      <c r="I90" s="25" t="s">
        <v>215</v>
      </c>
    </row>
    <row r="91" spans="1:9" ht="17.25" x14ac:dyDescent="0.25">
      <c r="A91" s="21">
        <v>89</v>
      </c>
      <c r="B91" s="20" t="s">
        <v>157</v>
      </c>
      <c r="C91" s="20" t="s">
        <v>218</v>
      </c>
      <c r="D91" s="20"/>
      <c r="E91" s="20"/>
      <c r="F91" s="20"/>
      <c r="G91" s="20">
        <f t="shared" si="4"/>
        <v>0</v>
      </c>
      <c r="H91" s="22">
        <f t="shared" si="5"/>
        <v>0</v>
      </c>
      <c r="I91" s="25" t="s">
        <v>215</v>
      </c>
    </row>
    <row r="92" spans="1:9" ht="17.25" x14ac:dyDescent="0.25">
      <c r="A92" s="21">
        <v>90</v>
      </c>
      <c r="B92" s="20" t="s">
        <v>165</v>
      </c>
      <c r="C92" s="20" t="s">
        <v>218</v>
      </c>
      <c r="D92" s="20"/>
      <c r="E92" s="20"/>
      <c r="F92" s="20"/>
      <c r="G92" s="20">
        <f t="shared" si="4"/>
        <v>0</v>
      </c>
      <c r="H92" s="22">
        <f t="shared" si="5"/>
        <v>0</v>
      </c>
      <c r="I92" s="25" t="s">
        <v>215</v>
      </c>
    </row>
    <row r="93" spans="1:9" ht="17.25" x14ac:dyDescent="0.25">
      <c r="A93" s="21">
        <v>91</v>
      </c>
      <c r="B93" s="20" t="s">
        <v>156</v>
      </c>
      <c r="C93" s="20" t="s">
        <v>218</v>
      </c>
      <c r="D93" s="20"/>
      <c r="E93" s="20"/>
      <c r="F93" s="20"/>
      <c r="G93" s="20">
        <f t="shared" si="4"/>
        <v>0</v>
      </c>
      <c r="H93" s="22">
        <f t="shared" si="5"/>
        <v>0</v>
      </c>
      <c r="I93" s="25" t="s">
        <v>215</v>
      </c>
    </row>
    <row r="94" spans="1:9" ht="17.25" x14ac:dyDescent="0.25">
      <c r="A94" s="21">
        <v>92</v>
      </c>
      <c r="B94" s="20" t="s">
        <v>153</v>
      </c>
      <c r="C94" s="20" t="s">
        <v>218</v>
      </c>
      <c r="D94" s="20"/>
      <c r="E94" s="20"/>
      <c r="F94" s="20"/>
      <c r="G94" s="20">
        <f t="shared" si="4"/>
        <v>0</v>
      </c>
      <c r="H94" s="22">
        <f t="shared" si="5"/>
        <v>0</v>
      </c>
      <c r="I94" s="25" t="s">
        <v>215</v>
      </c>
    </row>
    <row r="95" spans="1:9" ht="17.25" x14ac:dyDescent="0.25">
      <c r="A95" s="21">
        <v>93</v>
      </c>
      <c r="B95" s="20" t="s">
        <v>36</v>
      </c>
      <c r="C95" s="20" t="s">
        <v>218</v>
      </c>
      <c r="D95" s="20"/>
      <c r="E95" s="20"/>
      <c r="F95" s="20"/>
      <c r="G95" s="20">
        <f t="shared" si="4"/>
        <v>0</v>
      </c>
      <c r="H95" s="22">
        <f t="shared" si="5"/>
        <v>0</v>
      </c>
      <c r="I95" s="25" t="s">
        <v>213</v>
      </c>
    </row>
    <row r="96" spans="1:9" ht="17.25" x14ac:dyDescent="0.25">
      <c r="A96" s="21">
        <v>94</v>
      </c>
      <c r="B96" s="20" t="s">
        <v>169</v>
      </c>
      <c r="C96" s="20" t="s">
        <v>218</v>
      </c>
      <c r="D96" s="20"/>
      <c r="E96" s="20"/>
      <c r="F96" s="20"/>
      <c r="G96" s="20">
        <f t="shared" si="4"/>
        <v>0</v>
      </c>
      <c r="H96" s="22">
        <f t="shared" si="5"/>
        <v>0</v>
      </c>
      <c r="I96" s="25" t="s">
        <v>215</v>
      </c>
    </row>
    <row r="97" spans="1:9" ht="17.25" x14ac:dyDescent="0.25">
      <c r="A97" s="21">
        <v>95</v>
      </c>
      <c r="B97" s="20" t="s">
        <v>171</v>
      </c>
      <c r="C97" s="20" t="s">
        <v>218</v>
      </c>
      <c r="D97" s="20"/>
      <c r="E97" s="20">
        <v>30</v>
      </c>
      <c r="F97" s="20"/>
      <c r="G97" s="20">
        <f t="shared" si="4"/>
        <v>63</v>
      </c>
      <c r="H97" s="22">
        <f t="shared" si="5"/>
        <v>0.33333333333333331</v>
      </c>
      <c r="I97" s="25" t="s">
        <v>215</v>
      </c>
    </row>
    <row r="98" spans="1:9" ht="17.25" x14ac:dyDescent="0.25">
      <c r="A98" s="21">
        <v>96</v>
      </c>
      <c r="B98" s="20" t="s">
        <v>158</v>
      </c>
      <c r="C98" s="20" t="s">
        <v>218</v>
      </c>
      <c r="D98" s="20"/>
      <c r="E98" s="20"/>
      <c r="F98" s="20"/>
      <c r="G98" s="20">
        <f t="shared" si="4"/>
        <v>0</v>
      </c>
      <c r="H98" s="22">
        <f t="shared" si="5"/>
        <v>0</v>
      </c>
      <c r="I98" s="25" t="s">
        <v>215</v>
      </c>
    </row>
    <row r="99" spans="1:9" ht="17.25" x14ac:dyDescent="0.25">
      <c r="A99" s="21">
        <v>97</v>
      </c>
      <c r="B99" s="20" t="s">
        <v>42</v>
      </c>
      <c r="C99" s="20" t="s">
        <v>218</v>
      </c>
      <c r="D99" s="20"/>
      <c r="E99" s="20"/>
      <c r="F99" s="20"/>
      <c r="G99" s="20">
        <f t="shared" ref="G99:G113" si="6">F99*1.1+E99*2.1+D99*3.1</f>
        <v>0</v>
      </c>
      <c r="H99" s="22">
        <f t="shared" ref="H99:H113" si="7">G99/189</f>
        <v>0</v>
      </c>
      <c r="I99" s="25" t="s">
        <v>215</v>
      </c>
    </row>
    <row r="100" spans="1:9" ht="17.25" x14ac:dyDescent="0.25">
      <c r="A100" s="21">
        <v>98</v>
      </c>
      <c r="B100" s="20" t="s">
        <v>152</v>
      </c>
      <c r="C100" s="20" t="s">
        <v>218</v>
      </c>
      <c r="D100" s="20"/>
      <c r="E100" s="20"/>
      <c r="F100" s="20"/>
      <c r="G100" s="20">
        <f t="shared" si="6"/>
        <v>0</v>
      </c>
      <c r="H100" s="22">
        <f t="shared" si="7"/>
        <v>0</v>
      </c>
      <c r="I100" s="25" t="s">
        <v>215</v>
      </c>
    </row>
    <row r="101" spans="1:9" ht="17.25" x14ac:dyDescent="0.25">
      <c r="A101" s="21">
        <v>99</v>
      </c>
      <c r="B101" s="20" t="s">
        <v>142</v>
      </c>
      <c r="C101" s="20" t="s">
        <v>218</v>
      </c>
      <c r="D101" s="20"/>
      <c r="E101" s="20"/>
      <c r="F101" s="20"/>
      <c r="G101" s="20">
        <f t="shared" si="6"/>
        <v>0</v>
      </c>
      <c r="H101" s="22">
        <f t="shared" si="7"/>
        <v>0</v>
      </c>
      <c r="I101" s="25" t="s">
        <v>215</v>
      </c>
    </row>
    <row r="102" spans="1:9" ht="17.25" x14ac:dyDescent="0.25">
      <c r="A102" s="21">
        <v>100</v>
      </c>
      <c r="B102" s="20" t="s">
        <v>168</v>
      </c>
      <c r="C102" s="20" t="s">
        <v>218</v>
      </c>
      <c r="D102" s="20"/>
      <c r="E102" s="20"/>
      <c r="F102" s="20"/>
      <c r="G102" s="20">
        <f t="shared" si="6"/>
        <v>0</v>
      </c>
      <c r="H102" s="22">
        <f t="shared" si="7"/>
        <v>0</v>
      </c>
      <c r="I102" s="25" t="s">
        <v>215</v>
      </c>
    </row>
    <row r="103" spans="1:9" ht="17.25" x14ac:dyDescent="0.25">
      <c r="A103" s="21">
        <v>101</v>
      </c>
      <c r="B103" s="20" t="s">
        <v>151</v>
      </c>
      <c r="C103" s="20" t="s">
        <v>218</v>
      </c>
      <c r="D103" s="20"/>
      <c r="E103" s="20"/>
      <c r="F103" s="20"/>
      <c r="G103" s="20">
        <f t="shared" si="6"/>
        <v>0</v>
      </c>
      <c r="H103" s="22">
        <f t="shared" si="7"/>
        <v>0</v>
      </c>
      <c r="I103" s="25" t="s">
        <v>215</v>
      </c>
    </row>
    <row r="104" spans="1:9" ht="17.25" x14ac:dyDescent="0.25">
      <c r="A104" s="21">
        <v>102</v>
      </c>
      <c r="B104" s="20" t="s">
        <v>148</v>
      </c>
      <c r="C104" s="20" t="s">
        <v>218</v>
      </c>
      <c r="D104" s="20"/>
      <c r="E104" s="20"/>
      <c r="F104" s="20"/>
      <c r="G104" s="20">
        <f t="shared" si="6"/>
        <v>0</v>
      </c>
      <c r="H104" s="22">
        <f t="shared" si="7"/>
        <v>0</v>
      </c>
      <c r="I104" s="25" t="s">
        <v>215</v>
      </c>
    </row>
    <row r="105" spans="1:9" ht="17.25" x14ac:dyDescent="0.25">
      <c r="A105" s="21">
        <v>103</v>
      </c>
      <c r="B105" s="20" t="s">
        <v>129</v>
      </c>
      <c r="C105" s="20" t="s">
        <v>218</v>
      </c>
      <c r="D105" s="20"/>
      <c r="E105" s="20"/>
      <c r="F105" s="20"/>
      <c r="G105" s="20">
        <f t="shared" si="6"/>
        <v>0</v>
      </c>
      <c r="H105" s="22">
        <f t="shared" si="7"/>
        <v>0</v>
      </c>
      <c r="I105" s="25" t="s">
        <v>213</v>
      </c>
    </row>
    <row r="106" spans="1:9" ht="17.25" x14ac:dyDescent="0.25">
      <c r="A106" s="21">
        <v>104</v>
      </c>
      <c r="B106" s="20" t="s">
        <v>170</v>
      </c>
      <c r="C106" s="20" t="s">
        <v>218</v>
      </c>
      <c r="D106" s="20"/>
      <c r="E106" s="20"/>
      <c r="F106" s="20"/>
      <c r="G106" s="20">
        <f t="shared" si="6"/>
        <v>0</v>
      </c>
      <c r="H106" s="22">
        <f t="shared" si="7"/>
        <v>0</v>
      </c>
      <c r="I106" s="25" t="s">
        <v>215</v>
      </c>
    </row>
    <row r="107" spans="1:9" ht="17.25" x14ac:dyDescent="0.25">
      <c r="A107" s="21">
        <v>105</v>
      </c>
      <c r="B107" s="20" t="s">
        <v>160</v>
      </c>
      <c r="C107" s="20" t="s">
        <v>218</v>
      </c>
      <c r="D107" s="20"/>
      <c r="E107" s="20"/>
      <c r="F107" s="20"/>
      <c r="G107" s="20">
        <f t="shared" si="6"/>
        <v>0</v>
      </c>
      <c r="H107" s="22">
        <f t="shared" si="7"/>
        <v>0</v>
      </c>
      <c r="I107" s="25" t="s">
        <v>215</v>
      </c>
    </row>
    <row r="108" spans="1:9" ht="17.25" x14ac:dyDescent="0.25">
      <c r="A108" s="21">
        <v>106</v>
      </c>
      <c r="B108" s="20" t="s">
        <v>145</v>
      </c>
      <c r="C108" s="20" t="s">
        <v>218</v>
      </c>
      <c r="D108" s="20"/>
      <c r="E108" s="20"/>
      <c r="F108" s="20"/>
      <c r="G108" s="20">
        <f t="shared" si="6"/>
        <v>0</v>
      </c>
      <c r="H108" s="22">
        <f t="shared" si="7"/>
        <v>0</v>
      </c>
      <c r="I108" s="25" t="s">
        <v>215</v>
      </c>
    </row>
    <row r="109" spans="1:9" ht="17.25" x14ac:dyDescent="0.25">
      <c r="A109" s="21">
        <v>107</v>
      </c>
      <c r="B109" s="20" t="s">
        <v>147</v>
      </c>
      <c r="C109" s="20" t="s">
        <v>218</v>
      </c>
      <c r="D109" s="20"/>
      <c r="E109" s="20"/>
      <c r="F109" s="20"/>
      <c r="G109" s="20">
        <f t="shared" si="6"/>
        <v>0</v>
      </c>
      <c r="H109" s="22">
        <f t="shared" si="7"/>
        <v>0</v>
      </c>
      <c r="I109" s="25" t="s">
        <v>215</v>
      </c>
    </row>
    <row r="110" spans="1:9" ht="17.25" x14ac:dyDescent="0.25">
      <c r="A110" s="21">
        <v>108</v>
      </c>
      <c r="B110" s="20" t="s">
        <v>2</v>
      </c>
      <c r="C110" s="20" t="s">
        <v>218</v>
      </c>
      <c r="D110" s="20"/>
      <c r="E110" s="20"/>
      <c r="F110" s="20"/>
      <c r="G110" s="20">
        <f t="shared" si="6"/>
        <v>0</v>
      </c>
      <c r="H110" s="22">
        <f t="shared" si="7"/>
        <v>0</v>
      </c>
      <c r="I110" s="25" t="s">
        <v>215</v>
      </c>
    </row>
    <row r="111" spans="1:9" ht="17.25" x14ac:dyDescent="0.25">
      <c r="A111" s="21">
        <v>109</v>
      </c>
      <c r="B111" s="20" t="s">
        <v>207</v>
      </c>
      <c r="C111" s="20" t="s">
        <v>218</v>
      </c>
      <c r="D111" s="19"/>
      <c r="E111" s="19"/>
      <c r="F111" s="19"/>
      <c r="G111" s="20">
        <f t="shared" si="6"/>
        <v>0</v>
      </c>
      <c r="H111" s="22">
        <f t="shared" si="7"/>
        <v>0</v>
      </c>
      <c r="I111" s="25" t="s">
        <v>212</v>
      </c>
    </row>
    <row r="112" spans="1:9" ht="17.25" x14ac:dyDescent="0.25">
      <c r="A112" s="21">
        <v>110</v>
      </c>
      <c r="B112" s="20" t="s">
        <v>216</v>
      </c>
      <c r="C112" s="20" t="s">
        <v>218</v>
      </c>
      <c r="D112" s="25"/>
      <c r="E112" s="25"/>
      <c r="F112" s="25"/>
      <c r="G112" s="20">
        <f t="shared" si="6"/>
        <v>0</v>
      </c>
      <c r="H112" s="22">
        <f t="shared" si="7"/>
        <v>0</v>
      </c>
      <c r="I112" s="25" t="s">
        <v>215</v>
      </c>
    </row>
    <row r="113" spans="1:9" ht="17.25" x14ac:dyDescent="0.25">
      <c r="A113" s="21">
        <v>111</v>
      </c>
      <c r="B113" s="20" t="s">
        <v>217</v>
      </c>
      <c r="C113" s="20" t="s">
        <v>218</v>
      </c>
      <c r="D113" s="25"/>
      <c r="E113" s="25"/>
      <c r="F113" s="25"/>
      <c r="G113" s="20">
        <f t="shared" si="6"/>
        <v>0</v>
      </c>
      <c r="H113" s="22">
        <f t="shared" si="7"/>
        <v>0</v>
      </c>
      <c r="I113" s="25" t="s">
        <v>215</v>
      </c>
    </row>
  </sheetData>
  <sortState xmlns:xlrd2="http://schemas.microsoft.com/office/spreadsheetml/2017/richdata2" ref="A3:H111">
    <sortCondition descending="1" ref="H110"/>
  </sortState>
  <mergeCells count="1">
    <mergeCell ref="A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Sentabr</vt:lpstr>
      <vt:lpstr>oktabr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2026-03-10T04:15:03Z</dcterms:modified>
</cp:coreProperties>
</file>