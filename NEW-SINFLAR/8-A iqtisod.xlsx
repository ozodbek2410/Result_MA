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60" windowHeight="7740"/>
  </bookViews>
  <sheets>
    <sheet name="Natijalar" sheetId="1" r:id="rId1"/>
  </sheets>
  <calcPr calcId="162913"/>
</workbook>
</file>

<file path=xl/calcChain.xml><?xml version="1.0" encoding="utf-8"?>
<calcChain xmlns="http://schemas.openxmlformats.org/spreadsheetml/2006/main">
  <c r="G51" i="1" l="1"/>
  <c r="H51" i="1" s="1"/>
  <c r="G31" i="1"/>
  <c r="H31" i="1" s="1"/>
  <c r="G64" i="1"/>
  <c r="H64" i="1" s="1"/>
  <c r="G39" i="1"/>
  <c r="H39" i="1" s="1"/>
  <c r="G22" i="1"/>
  <c r="H22" i="1" s="1"/>
  <c r="G14" i="1"/>
  <c r="H14" i="1" s="1"/>
  <c r="G20" i="1"/>
  <c r="H20" i="1" s="1"/>
  <c r="G52" i="1"/>
  <c r="H52" i="1" s="1"/>
  <c r="G65" i="1"/>
  <c r="H65" i="1" s="1"/>
  <c r="G58" i="1"/>
  <c r="H58" i="1" s="1"/>
  <c r="G35" i="1"/>
  <c r="H35" i="1" s="1"/>
  <c r="G32" i="1"/>
  <c r="H32" i="1" s="1"/>
  <c r="G37" i="1"/>
  <c r="H37" i="1" s="1"/>
  <c r="G55" i="1"/>
  <c r="H55" i="1" s="1"/>
  <c r="G59" i="1"/>
  <c r="H59" i="1" s="1"/>
  <c r="G56" i="1"/>
  <c r="H56" i="1" s="1"/>
  <c r="G48" i="1"/>
  <c r="H48" i="1" s="1"/>
  <c r="G24" i="1"/>
  <c r="H24" i="1" s="1"/>
  <c r="G30" i="1"/>
  <c r="H30" i="1" s="1"/>
  <c r="G62" i="1"/>
  <c r="H62" i="1" s="1"/>
  <c r="G44" i="1"/>
  <c r="H44" i="1" s="1"/>
  <c r="G57" i="1"/>
  <c r="H57" i="1" s="1"/>
  <c r="G34" i="1"/>
  <c r="H34" i="1" s="1"/>
  <c r="G53" i="1"/>
  <c r="H53" i="1" s="1"/>
  <c r="G46" i="1"/>
  <c r="H46" i="1" s="1"/>
  <c r="G36" i="1"/>
  <c r="H36" i="1" s="1"/>
  <c r="G13" i="1"/>
  <c r="H13" i="1" s="1"/>
  <c r="G50" i="1"/>
  <c r="H50" i="1" s="1"/>
  <c r="G61" i="1"/>
  <c r="H61" i="1" s="1"/>
  <c r="G43" i="1"/>
  <c r="H43" i="1" s="1"/>
  <c r="G7" i="1"/>
  <c r="H7" i="1" s="1"/>
  <c r="G45" i="1"/>
  <c r="H45" i="1" s="1"/>
  <c r="G25" i="1" l="1"/>
  <c r="H25" i="1" s="1"/>
  <c r="G28" i="1"/>
  <c r="H28" i="1" s="1"/>
  <c r="G38" i="1"/>
  <c r="H38" i="1" s="1"/>
  <c r="G21" i="1"/>
  <c r="H21" i="1" s="1"/>
  <c r="G17" i="1"/>
  <c r="H17" i="1" s="1"/>
  <c r="G54" i="1"/>
  <c r="H54" i="1" s="1"/>
  <c r="G33" i="1"/>
  <c r="H33" i="1" s="1"/>
  <c r="G6" i="1"/>
  <c r="H6" i="1" s="1"/>
  <c r="G11" i="1"/>
  <c r="H11" i="1" s="1"/>
  <c r="G18" i="1"/>
  <c r="H18" i="1" s="1"/>
  <c r="G63" i="1"/>
  <c r="H63" i="1" s="1"/>
  <c r="G16" i="1"/>
  <c r="H16" i="1" s="1"/>
  <c r="G60" i="1"/>
  <c r="H60" i="1" s="1"/>
  <c r="G47" i="1"/>
  <c r="H47" i="1" s="1"/>
  <c r="G41" i="1"/>
  <c r="H41" i="1" s="1"/>
  <c r="G5" i="1"/>
  <c r="H5" i="1" s="1"/>
  <c r="G26" i="1"/>
  <c r="H26" i="1" s="1"/>
  <c r="G12" i="1"/>
  <c r="H12" i="1" s="1"/>
  <c r="G19" i="1"/>
  <c r="H19" i="1" s="1"/>
  <c r="G29" i="1"/>
  <c r="H29" i="1" s="1"/>
  <c r="G9" i="1"/>
  <c r="H9" i="1" s="1"/>
  <c r="G27" i="1"/>
  <c r="H27" i="1" s="1"/>
  <c r="G23" i="1"/>
  <c r="H23" i="1" s="1"/>
  <c r="G8" i="1"/>
  <c r="H8" i="1" s="1"/>
  <c r="G10" i="1"/>
  <c r="H10" i="1" s="1"/>
  <c r="G40" i="1"/>
  <c r="H40" i="1" s="1"/>
  <c r="G42" i="1"/>
  <c r="H42" i="1" s="1"/>
  <c r="G49" i="1"/>
  <c r="H49" i="1" s="1"/>
  <c r="G15" i="1"/>
  <c r="H15" i="1" s="1"/>
  <c r="G4" i="1"/>
  <c r="H4" i="1" s="1"/>
</calcChain>
</file>

<file path=xl/sharedStrings.xml><?xml version="1.0" encoding="utf-8"?>
<sst xmlns="http://schemas.openxmlformats.org/spreadsheetml/2006/main" count="72" uniqueCount="72">
  <si>
    <t>O'quvchilar: 33 | Fanlar: 4 | Jami savollar: 90</t>
  </si>
  <si>
    <t>№</t>
  </si>
  <si>
    <t>F.I.O</t>
  </si>
  <si>
    <t>Matematika
(30 ta)</t>
  </si>
  <si>
    <t>Ingliz tili
(30 ta)</t>
  </si>
  <si>
    <t>Ona tili va adabiyot
(15 ta)</t>
  </si>
  <si>
    <t>Tarix
(15 ta)</t>
  </si>
  <si>
    <t>Jami ball</t>
  </si>
  <si>
    <t>Foiz (%)</t>
  </si>
  <si>
    <t>Abdurahmonov Muhammadali</t>
  </si>
  <si>
    <t>Abdurahmonova Hilola</t>
  </si>
  <si>
    <t>Anvarov Azizbek</t>
  </si>
  <si>
    <t>Avezova Marhabo</t>
  </si>
  <si>
    <t>Boltayev Asliddin</t>
  </si>
  <si>
    <t>Buranov Timur</t>
  </si>
  <si>
    <t>Erkinov Elyor</t>
  </si>
  <si>
    <t>Hakimova Madina</t>
  </si>
  <si>
    <t>Husenov Sevinchbek</t>
  </si>
  <si>
    <t>Ibodullayev Ulug'bek</t>
  </si>
  <si>
    <t>Ismatov Hayotjon</t>
  </si>
  <si>
    <t>Ismatov Yodgorbek</t>
  </si>
  <si>
    <t>Ismoilov Muhammadali</t>
  </si>
  <si>
    <t>Jo`rayev Umidjon</t>
  </si>
  <si>
    <t>Muhammadov Azizbek</t>
  </si>
  <si>
    <t>Muhammadov Muhammadsolih</t>
  </si>
  <si>
    <t>Murodov Muhammadali</t>
  </si>
  <si>
    <t>Nutfullayeva Shabnam</t>
  </si>
  <si>
    <t>O`tkirov Botir</t>
  </si>
  <si>
    <t>Sadulloyev Sanjar</t>
  </si>
  <si>
    <t>Saidova Sarvinoz</t>
  </si>
  <si>
    <t>Sattorov Akromjon</t>
  </si>
  <si>
    <t>Shomurodov Ulug`bek</t>
  </si>
  <si>
    <t>Shuhratov Aslonjon</t>
  </si>
  <si>
    <t>Sohibova Shohzodabegim</t>
  </si>
  <si>
    <t>Teshayeva Kumush</t>
  </si>
  <si>
    <t>To'rayev Safarbek</t>
  </si>
  <si>
    <t>To'ymurodov Behruz</t>
  </si>
  <si>
    <t>Yo'ldoshev Ulug'bek</t>
  </si>
  <si>
    <t>Zaripov Behruz</t>
  </si>
  <si>
    <t>Abduxalilov Mirshodbek</t>
  </si>
  <si>
    <t>Ahrorov Laziz</t>
  </si>
  <si>
    <t>Anhorov Alisher</t>
  </si>
  <si>
    <t>Bahriddinova Nilufar</t>
  </si>
  <si>
    <t>Baxodirov Behruz</t>
  </si>
  <si>
    <t>Baxtiyorov Behruzbek</t>
  </si>
  <si>
    <t>Davronov Feruz</t>
  </si>
  <si>
    <t>Hikmatullayev Javohir</t>
  </si>
  <si>
    <t>Ibrohimov Mehriddin</t>
  </si>
  <si>
    <t>Ilhomov Shohrux</t>
  </si>
  <si>
    <t>Kenjayev Sherzod</t>
  </si>
  <si>
    <t>Komilov Olimjon</t>
  </si>
  <si>
    <t>Luqmonova Sevara</t>
  </si>
  <si>
    <t>Mansurov Firdavs</t>
  </si>
  <si>
    <t>Muxtorov Behruz</t>
  </si>
  <si>
    <t>Nomonov Jasur</t>
  </si>
  <si>
    <t>Nuritdinov Mehriddin</t>
  </si>
  <si>
    <t>Nusratullayev Azizbek</t>
  </si>
  <si>
    <t>Odilova Jasmina</t>
  </si>
  <si>
    <t>Olimjonov Foziljon</t>
  </si>
  <si>
    <t>Olimov Olimjon</t>
  </si>
  <si>
    <t>Qobilov Shohjahon</t>
  </si>
  <si>
    <t>Ro'ziqulov Dilbek</t>
  </si>
  <si>
    <t>Salohiddinov Sirojiddin</t>
  </si>
  <si>
    <t>Sayfullayev Sayfullo</t>
  </si>
  <si>
    <t>Sayfulloyev Odilbek</t>
  </si>
  <si>
    <t>Shuhratov Nazarbek</t>
  </si>
  <si>
    <t>Tolibova Nilufar</t>
  </si>
  <si>
    <t>Xamidov Xushnud</t>
  </si>
  <si>
    <t>Xudoyorov Saidjon</t>
  </si>
  <si>
    <t>Yodgorov Azizbek</t>
  </si>
  <si>
    <t>Yoqubov Azizbek</t>
  </si>
  <si>
    <t>Blok test natijalar — 8-sinf | 8 Iqtisod A va B | 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</si>
</sst>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04"/>
    </font>
    <font>
      <b/>
      <sz val="16"/>
      <name val="Calibri"/>
      <family val="2"/>
      <charset val="204"/>
    </font>
    <font>
      <sz val="16"/>
      <name val="Calibri"/>
      <family val="2"/>
      <charset val="204"/>
    </font>
    <font>
      <sz val="16"/>
      <color rgb="FF166534"/>
      <name val="Calibri"/>
      <family val="2"/>
      <charset val="204"/>
    </font>
    <font>
      <b/>
      <sz val="16"/>
      <color rgb="FF166534"/>
      <name val="Calibri"/>
      <family val="2"/>
      <charset val="204"/>
    </font>
    <font>
      <sz val="16"/>
      <color rgb="FF991B1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6366F1"/>
      </patternFill>
    </fill>
    <fill>
      <patternFill patternType="solid">
        <fgColor rgb="FFEEF2FF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activeCell="E6" sqref="E6"/>
    </sheetView>
  </sheetViews>
  <sheetFormatPr defaultRowHeight="15" x14ac:dyDescent="0.25"/>
  <cols>
    <col min="1" max="1" width="5" customWidth="1"/>
    <col min="2" max="2" width="32" customWidth="1"/>
    <col min="3" max="6" width="18" customWidth="1"/>
    <col min="7" max="7" width="14" customWidth="1"/>
    <col min="8" max="8" width="12" customWidth="1"/>
  </cols>
  <sheetData>
    <row r="1" spans="1:8" ht="36" customHeight="1" x14ac:dyDescent="0.25">
      <c r="A1" s="11" t="s">
        <v>71</v>
      </c>
      <c r="B1" s="11"/>
      <c r="C1" s="11"/>
      <c r="D1" s="11"/>
      <c r="E1" s="11"/>
      <c r="F1" s="11"/>
      <c r="G1" s="11"/>
      <c r="H1" s="11"/>
    </row>
    <row r="2" spans="1:8" ht="24" customHeight="1" x14ac:dyDescent="0.25">
      <c r="A2" s="12" t="s">
        <v>0</v>
      </c>
      <c r="B2" s="12"/>
      <c r="C2" s="12"/>
      <c r="D2" s="12"/>
      <c r="E2" s="12"/>
      <c r="F2" s="12"/>
      <c r="G2" s="12"/>
      <c r="H2" s="12"/>
    </row>
    <row r="3" spans="1:8" ht="39.950000000000003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4" customHeight="1" x14ac:dyDescent="0.25">
      <c r="A4" s="2">
        <v>1</v>
      </c>
      <c r="B4" s="3" t="s">
        <v>9</v>
      </c>
      <c r="C4" s="4">
        <v>26</v>
      </c>
      <c r="D4" s="4">
        <v>29</v>
      </c>
      <c r="E4" s="4">
        <v>12</v>
      </c>
      <c r="F4" s="5">
        <v>8</v>
      </c>
      <c r="G4" s="2">
        <f t="shared" ref="G4:G65" si="0">C4*3.1+D4*2.1+E4*1.1+F4*1.1</f>
        <v>163.5</v>
      </c>
      <c r="H4" s="6">
        <f t="shared" ref="H4:H65" si="1">G4/189</f>
        <v>0.86507936507936511</v>
      </c>
    </row>
    <row r="5" spans="1:8" ht="24" customHeight="1" x14ac:dyDescent="0.25">
      <c r="A5" s="2">
        <v>2</v>
      </c>
      <c r="B5" s="3" t="s">
        <v>25</v>
      </c>
      <c r="C5" s="4">
        <v>27</v>
      </c>
      <c r="D5" s="4">
        <v>27</v>
      </c>
      <c r="E5" s="4">
        <v>13</v>
      </c>
      <c r="F5" s="7">
        <v>5</v>
      </c>
      <c r="G5" s="2">
        <f>C5*3.1+D5*2.1+E5*1.1+F5*1.1</f>
        <v>160.20000000000002</v>
      </c>
      <c r="H5" s="6">
        <f>G5/189</f>
        <v>0.84761904761904772</v>
      </c>
    </row>
    <row r="6" spans="1:8" ht="24" customHeight="1" x14ac:dyDescent="0.25">
      <c r="A6" s="8">
        <v>3</v>
      </c>
      <c r="B6" s="3" t="s">
        <v>17</v>
      </c>
      <c r="C6" s="4">
        <v>23</v>
      </c>
      <c r="D6" s="4">
        <v>29</v>
      </c>
      <c r="E6" s="5">
        <v>10</v>
      </c>
      <c r="F6" s="4">
        <v>11</v>
      </c>
      <c r="G6" s="2">
        <f>C6*3.1+D6*2.1+E6*1.1+F6*1.1</f>
        <v>155.29999999999998</v>
      </c>
      <c r="H6" s="6">
        <f>G6/189</f>
        <v>0.82169312169312159</v>
      </c>
    </row>
    <row r="7" spans="1:8" ht="24" customHeight="1" x14ac:dyDescent="0.25">
      <c r="A7" s="2">
        <v>4</v>
      </c>
      <c r="B7" s="3" t="s">
        <v>69</v>
      </c>
      <c r="C7" s="4">
        <v>26</v>
      </c>
      <c r="D7" s="5">
        <v>20</v>
      </c>
      <c r="E7" s="4">
        <v>12</v>
      </c>
      <c r="F7" s="4">
        <v>14</v>
      </c>
      <c r="G7" s="2">
        <f>C7*3.1+D7*2.1+E7*1.1+F7*1.1</f>
        <v>151.20000000000002</v>
      </c>
      <c r="H7" s="6">
        <f>G7/189</f>
        <v>0.8</v>
      </c>
    </row>
    <row r="8" spans="1:8" ht="24" customHeight="1" x14ac:dyDescent="0.25">
      <c r="A8" s="2">
        <v>5</v>
      </c>
      <c r="B8" s="9" t="s">
        <v>33</v>
      </c>
      <c r="C8" s="4">
        <v>25</v>
      </c>
      <c r="D8" s="4">
        <v>27</v>
      </c>
      <c r="E8" s="10">
        <v>8</v>
      </c>
      <c r="F8" s="10">
        <v>7</v>
      </c>
      <c r="G8" s="2">
        <f>C8*3.1+D8*2.1+E8*1.1+F8*1.1</f>
        <v>150.69999999999999</v>
      </c>
      <c r="H8" s="6">
        <f>G8/189</f>
        <v>0.79735449735449726</v>
      </c>
    </row>
    <row r="9" spans="1:8" ht="24" customHeight="1" x14ac:dyDescent="0.25">
      <c r="A9" s="8">
        <v>6</v>
      </c>
      <c r="B9" s="9" t="s">
        <v>30</v>
      </c>
      <c r="C9" s="4">
        <v>21</v>
      </c>
      <c r="D9" s="4">
        <v>27</v>
      </c>
      <c r="E9" s="4">
        <v>11</v>
      </c>
      <c r="F9" s="4">
        <v>14</v>
      </c>
      <c r="G9" s="2">
        <f>C9*3.1+D9*2.1+E9*1.1+F9*1.1</f>
        <v>149.30000000000001</v>
      </c>
      <c r="H9" s="6">
        <f>G9/189</f>
        <v>0.78994708994708995</v>
      </c>
    </row>
    <row r="10" spans="1:8" ht="24" customHeight="1" x14ac:dyDescent="0.25">
      <c r="A10" s="2">
        <v>7</v>
      </c>
      <c r="B10" s="3" t="s">
        <v>34</v>
      </c>
      <c r="C10" s="4">
        <v>23</v>
      </c>
      <c r="D10" s="4">
        <v>30</v>
      </c>
      <c r="E10" s="5">
        <v>7</v>
      </c>
      <c r="F10" s="5">
        <v>6</v>
      </c>
      <c r="G10" s="2">
        <f>C10*3.1+D10*2.1+E10*1.1+F10*1.1</f>
        <v>148.6</v>
      </c>
      <c r="H10" s="6">
        <f>G10/189</f>
        <v>0.78624338624338619</v>
      </c>
    </row>
    <row r="11" spans="1:8" ht="24" customHeight="1" x14ac:dyDescent="0.25">
      <c r="A11" s="2">
        <v>8</v>
      </c>
      <c r="B11" s="9" t="s">
        <v>18</v>
      </c>
      <c r="C11" s="4">
        <v>25</v>
      </c>
      <c r="D11" s="4">
        <v>28</v>
      </c>
      <c r="E11" s="10">
        <v>7</v>
      </c>
      <c r="F11" s="7">
        <v>4</v>
      </c>
      <c r="G11" s="2">
        <f>C11*3.1+D11*2.1+E11*1.1+F11*1.1</f>
        <v>148.4</v>
      </c>
      <c r="H11" s="6">
        <f>G11/189</f>
        <v>0.78518518518518521</v>
      </c>
    </row>
    <row r="12" spans="1:8" ht="24" customHeight="1" x14ac:dyDescent="0.25">
      <c r="A12" s="8">
        <v>9</v>
      </c>
      <c r="B12" s="3" t="s">
        <v>27</v>
      </c>
      <c r="C12" s="4">
        <v>26</v>
      </c>
      <c r="D12" s="4">
        <v>22</v>
      </c>
      <c r="E12" s="5">
        <v>7</v>
      </c>
      <c r="F12" s="5">
        <v>10</v>
      </c>
      <c r="G12" s="2">
        <f>C12*3.1+D12*2.1+E12*1.1+F12*1.1</f>
        <v>145.5</v>
      </c>
      <c r="H12" s="6">
        <f>G12/189</f>
        <v>0.76984126984126988</v>
      </c>
    </row>
    <row r="13" spans="1:8" ht="24" customHeight="1" x14ac:dyDescent="0.25">
      <c r="A13" s="2">
        <v>10</v>
      </c>
      <c r="B13" s="3" t="s">
        <v>65</v>
      </c>
      <c r="C13" s="4">
        <v>26</v>
      </c>
      <c r="D13" s="4">
        <v>21</v>
      </c>
      <c r="E13" s="4">
        <v>12</v>
      </c>
      <c r="F13" s="7">
        <v>5</v>
      </c>
      <c r="G13" s="2">
        <f>C13*3.1+D13*2.1+E13*1.1+F13*1.1</f>
        <v>143.4</v>
      </c>
      <c r="H13" s="6">
        <f>G13/189</f>
        <v>0.75873015873015881</v>
      </c>
    </row>
    <row r="14" spans="1:8" ht="24" customHeight="1" x14ac:dyDescent="0.25">
      <c r="A14" s="2">
        <v>11</v>
      </c>
      <c r="B14" s="9" t="s">
        <v>44</v>
      </c>
      <c r="C14" s="4">
        <v>27</v>
      </c>
      <c r="D14" s="10">
        <v>17</v>
      </c>
      <c r="E14" s="10">
        <v>9</v>
      </c>
      <c r="F14" s="10">
        <v>9</v>
      </c>
      <c r="G14" s="2">
        <f>C14*3.1+D14*2.1+E14*1.1+F14*1.1</f>
        <v>139.20000000000002</v>
      </c>
      <c r="H14" s="6">
        <f>G14/189</f>
        <v>0.73650793650793656</v>
      </c>
    </row>
    <row r="15" spans="1:8" ht="24" customHeight="1" x14ac:dyDescent="0.25">
      <c r="A15" s="8">
        <v>12</v>
      </c>
      <c r="B15" s="3" t="s">
        <v>38</v>
      </c>
      <c r="C15" s="4">
        <v>21</v>
      </c>
      <c r="D15" s="4">
        <v>28</v>
      </c>
      <c r="E15" s="5">
        <v>7</v>
      </c>
      <c r="F15" s="5">
        <v>6</v>
      </c>
      <c r="G15" s="2">
        <f>C15*3.1+D15*2.1+E15*1.1+F15*1.1</f>
        <v>138.19999999999999</v>
      </c>
      <c r="H15" s="6">
        <f>G15/189</f>
        <v>0.73121693121693121</v>
      </c>
    </row>
    <row r="16" spans="1:8" ht="24" customHeight="1" x14ac:dyDescent="0.25">
      <c r="A16" s="2">
        <v>13</v>
      </c>
      <c r="B16" s="3" t="s">
        <v>21</v>
      </c>
      <c r="C16" s="5">
        <v>18</v>
      </c>
      <c r="D16" s="4">
        <v>27</v>
      </c>
      <c r="E16" s="5">
        <v>9</v>
      </c>
      <c r="F16" s="4">
        <v>14</v>
      </c>
      <c r="G16" s="2">
        <f>C16*3.1+D16*2.1+E16*1.1+F16*1.1</f>
        <v>137.80000000000001</v>
      </c>
      <c r="H16" s="6">
        <f>G16/189</f>
        <v>0.72910052910052914</v>
      </c>
    </row>
    <row r="17" spans="1:8" ht="24" customHeight="1" x14ac:dyDescent="0.25">
      <c r="A17" s="2">
        <v>14</v>
      </c>
      <c r="B17" s="9" t="s">
        <v>14</v>
      </c>
      <c r="C17" s="10">
        <v>17</v>
      </c>
      <c r="D17" s="4">
        <v>27</v>
      </c>
      <c r="E17" s="4">
        <v>11</v>
      </c>
      <c r="F17" s="4">
        <v>14</v>
      </c>
      <c r="G17" s="2">
        <f>C17*3.1+D17*2.1+E17*1.1+F17*1.1</f>
        <v>136.9</v>
      </c>
      <c r="H17" s="6">
        <f>G17/189</f>
        <v>0.72433862433862439</v>
      </c>
    </row>
    <row r="18" spans="1:8" ht="24" customHeight="1" x14ac:dyDescent="0.25">
      <c r="A18" s="8">
        <v>15</v>
      </c>
      <c r="B18" s="3" t="s">
        <v>19</v>
      </c>
      <c r="C18" s="5">
        <v>19</v>
      </c>
      <c r="D18" s="4">
        <v>30</v>
      </c>
      <c r="E18" s="7">
        <v>5</v>
      </c>
      <c r="F18" s="5">
        <v>8</v>
      </c>
      <c r="G18" s="2">
        <f>C18*3.1+D18*2.1+E18*1.1+F18*1.1</f>
        <v>136.20000000000002</v>
      </c>
      <c r="H18" s="6">
        <f>G18/189</f>
        <v>0.72063492063492074</v>
      </c>
    </row>
    <row r="19" spans="1:8" ht="24" customHeight="1" x14ac:dyDescent="0.25">
      <c r="A19" s="2">
        <v>16</v>
      </c>
      <c r="B19" s="9" t="s">
        <v>28</v>
      </c>
      <c r="C19" s="4">
        <v>23</v>
      </c>
      <c r="D19" s="4">
        <v>24</v>
      </c>
      <c r="E19" s="10">
        <v>7</v>
      </c>
      <c r="F19" s="10">
        <v>6</v>
      </c>
      <c r="G19" s="2">
        <f>C19*3.1+D19*2.1+E19*1.1+F19*1.1</f>
        <v>136</v>
      </c>
      <c r="H19" s="6">
        <f>G19/189</f>
        <v>0.71957671957671954</v>
      </c>
    </row>
    <row r="20" spans="1:8" ht="24" customHeight="1" x14ac:dyDescent="0.25">
      <c r="A20" s="2">
        <v>17</v>
      </c>
      <c r="B20" s="3" t="s">
        <v>45</v>
      </c>
      <c r="C20" s="4">
        <v>22</v>
      </c>
      <c r="D20" s="4">
        <v>24</v>
      </c>
      <c r="E20" s="5">
        <v>8</v>
      </c>
      <c r="F20" s="5">
        <v>7</v>
      </c>
      <c r="G20" s="2">
        <f>C20*3.1+D20*2.1+E20*1.1+F20*1.1</f>
        <v>135.1</v>
      </c>
      <c r="H20" s="6">
        <f>G20/189</f>
        <v>0.71481481481481479</v>
      </c>
    </row>
    <row r="21" spans="1:8" ht="24" customHeight="1" x14ac:dyDescent="0.25">
      <c r="A21" s="8">
        <v>18</v>
      </c>
      <c r="B21" s="3" t="s">
        <v>13</v>
      </c>
      <c r="C21" s="5">
        <v>19</v>
      </c>
      <c r="D21" s="4">
        <v>28</v>
      </c>
      <c r="E21" s="5">
        <v>8</v>
      </c>
      <c r="F21" s="5">
        <v>6</v>
      </c>
      <c r="G21" s="2">
        <f>C21*3.1+D21*2.1+E21*1.1+F21*1.1</f>
        <v>133.1</v>
      </c>
      <c r="H21" s="6">
        <f>G21/189</f>
        <v>0.70423280423280421</v>
      </c>
    </row>
    <row r="22" spans="1:8" ht="24" customHeight="1" x14ac:dyDescent="0.25">
      <c r="A22" s="2">
        <v>19</v>
      </c>
      <c r="B22" s="3" t="s">
        <v>43</v>
      </c>
      <c r="C22" s="4">
        <v>25</v>
      </c>
      <c r="D22" s="5">
        <v>14</v>
      </c>
      <c r="E22" s="4">
        <v>13</v>
      </c>
      <c r="F22" s="5">
        <v>9</v>
      </c>
      <c r="G22" s="2">
        <f>C22*3.1+D22*2.1+E22*1.1+F22*1.1</f>
        <v>131.1</v>
      </c>
      <c r="H22" s="6">
        <f>G22/189</f>
        <v>0.69365079365079363</v>
      </c>
    </row>
    <row r="23" spans="1:8" ht="24" customHeight="1" x14ac:dyDescent="0.25">
      <c r="A23" s="2">
        <v>20</v>
      </c>
      <c r="B23" s="3" t="s">
        <v>32</v>
      </c>
      <c r="C23" s="5">
        <v>19</v>
      </c>
      <c r="D23" s="4">
        <v>25</v>
      </c>
      <c r="E23" s="5">
        <v>8</v>
      </c>
      <c r="F23" s="5">
        <v>6</v>
      </c>
      <c r="G23" s="2">
        <f>C23*3.1+D23*2.1+E23*1.1+F23*1.1</f>
        <v>126.8</v>
      </c>
      <c r="H23" s="6">
        <f>G23/189</f>
        <v>0.67089947089947088</v>
      </c>
    </row>
    <row r="24" spans="1:8" ht="24" customHeight="1" x14ac:dyDescent="0.25">
      <c r="A24" s="8">
        <v>21</v>
      </c>
      <c r="B24" s="9" t="s">
        <v>56</v>
      </c>
      <c r="C24" s="4">
        <v>23</v>
      </c>
      <c r="D24" s="10">
        <v>20</v>
      </c>
      <c r="E24" s="7">
        <v>5</v>
      </c>
      <c r="F24" s="10">
        <v>7</v>
      </c>
      <c r="G24" s="2">
        <f>C24*3.1+D24*2.1+E24*1.1+F24*1.1</f>
        <v>126.5</v>
      </c>
      <c r="H24" s="6">
        <f>G24/189</f>
        <v>0.6693121693121693</v>
      </c>
    </row>
    <row r="25" spans="1:8" ht="24" customHeight="1" x14ac:dyDescent="0.25">
      <c r="A25" s="2">
        <v>22</v>
      </c>
      <c r="B25" s="9" t="s">
        <v>10</v>
      </c>
      <c r="C25" s="10">
        <v>17</v>
      </c>
      <c r="D25" s="4">
        <v>25</v>
      </c>
      <c r="E25" s="4">
        <v>11</v>
      </c>
      <c r="F25" s="10">
        <v>8</v>
      </c>
      <c r="G25" s="2">
        <f>C25*3.1+D25*2.1+E25*1.1+F25*1.1</f>
        <v>126.10000000000001</v>
      </c>
      <c r="H25" s="6">
        <f>G25/189</f>
        <v>0.66719576719576723</v>
      </c>
    </row>
    <row r="26" spans="1:8" ht="24" customHeight="1" x14ac:dyDescent="0.25">
      <c r="A26" s="2">
        <v>23</v>
      </c>
      <c r="B26" s="9" t="s">
        <v>26</v>
      </c>
      <c r="C26" s="10">
        <v>17</v>
      </c>
      <c r="D26" s="4">
        <v>27</v>
      </c>
      <c r="E26" s="10">
        <v>9</v>
      </c>
      <c r="F26" s="10">
        <v>6</v>
      </c>
      <c r="G26" s="2">
        <f>C26*3.1+D26*2.1+E26*1.1+F26*1.1</f>
        <v>125.9</v>
      </c>
      <c r="H26" s="6">
        <f>G26/189</f>
        <v>0.66613756613756614</v>
      </c>
    </row>
    <row r="27" spans="1:8" ht="24" customHeight="1" x14ac:dyDescent="0.25">
      <c r="A27" s="8">
        <v>24</v>
      </c>
      <c r="B27" s="9" t="s">
        <v>31</v>
      </c>
      <c r="C27" s="4">
        <v>23</v>
      </c>
      <c r="D27" s="10">
        <v>17</v>
      </c>
      <c r="E27" s="10">
        <v>7</v>
      </c>
      <c r="F27" s="10">
        <v>10</v>
      </c>
      <c r="G27" s="2">
        <f>C27*3.1+D27*2.1+E27*1.1+F27*1.1</f>
        <v>125.7</v>
      </c>
      <c r="H27" s="6">
        <f>G27/189</f>
        <v>0.66507936507936505</v>
      </c>
    </row>
    <row r="28" spans="1:8" ht="24" customHeight="1" x14ac:dyDescent="0.25">
      <c r="A28" s="2">
        <v>25</v>
      </c>
      <c r="B28" s="3" t="s">
        <v>11</v>
      </c>
      <c r="C28" s="4">
        <v>21</v>
      </c>
      <c r="D28" s="4">
        <v>22</v>
      </c>
      <c r="E28" s="7">
        <v>3</v>
      </c>
      <c r="F28" s="7">
        <v>8</v>
      </c>
      <c r="G28" s="2">
        <f>C28*3.1+D28*2.1+E28*1.1+F28*1.1</f>
        <v>123.4</v>
      </c>
      <c r="H28" s="6">
        <f>G28/189</f>
        <v>0.65291005291005288</v>
      </c>
    </row>
    <row r="29" spans="1:8" ht="24" customHeight="1" x14ac:dyDescent="0.25">
      <c r="A29" s="2">
        <v>26</v>
      </c>
      <c r="B29" s="3" t="s">
        <v>29</v>
      </c>
      <c r="C29" s="5">
        <v>19</v>
      </c>
      <c r="D29" s="4">
        <v>23</v>
      </c>
      <c r="E29" s="5">
        <v>9</v>
      </c>
      <c r="F29" s="7">
        <v>5</v>
      </c>
      <c r="G29" s="2">
        <f>C29*3.1+D29*2.1+E29*1.1+F29*1.1</f>
        <v>122.60000000000001</v>
      </c>
      <c r="H29" s="6">
        <f>G29/189</f>
        <v>0.64867724867724874</v>
      </c>
    </row>
    <row r="30" spans="1:8" ht="24" customHeight="1" x14ac:dyDescent="0.25">
      <c r="A30" s="8">
        <v>27</v>
      </c>
      <c r="B30" s="3" t="s">
        <v>57</v>
      </c>
      <c r="C30" s="4">
        <v>21</v>
      </c>
      <c r="D30" s="5">
        <v>18</v>
      </c>
      <c r="E30" s="5">
        <v>10</v>
      </c>
      <c r="F30" s="5">
        <v>7</v>
      </c>
      <c r="G30" s="2">
        <f>C30*3.1+D30*2.1+E30*1.1+F30*1.1</f>
        <v>121.60000000000001</v>
      </c>
      <c r="H30" s="6">
        <f>G30/189</f>
        <v>0.64338624338624339</v>
      </c>
    </row>
    <row r="31" spans="1:8" ht="24" customHeight="1" x14ac:dyDescent="0.25">
      <c r="A31" s="2">
        <v>28</v>
      </c>
      <c r="B31" s="9" t="s">
        <v>40</v>
      </c>
      <c r="C31" s="10">
        <v>20</v>
      </c>
      <c r="D31" s="4">
        <v>21</v>
      </c>
      <c r="E31" s="10">
        <v>7</v>
      </c>
      <c r="F31" s="10">
        <v>7</v>
      </c>
      <c r="G31" s="2">
        <f>C31*3.1+D31*2.1+E31*1.1+F31*1.1</f>
        <v>121.5</v>
      </c>
      <c r="H31" s="6">
        <f>G31/189</f>
        <v>0.6428571428571429</v>
      </c>
    </row>
    <row r="32" spans="1:8" ht="24" customHeight="1" x14ac:dyDescent="0.25">
      <c r="A32" s="2">
        <v>29</v>
      </c>
      <c r="B32" s="9" t="s">
        <v>50</v>
      </c>
      <c r="C32" s="10">
        <v>16</v>
      </c>
      <c r="D32" s="4">
        <v>26</v>
      </c>
      <c r="E32" s="10">
        <v>7</v>
      </c>
      <c r="F32" s="10">
        <v>7</v>
      </c>
      <c r="G32" s="2">
        <f>C32*3.1+D32*2.1+E32*1.1+F32*1.1</f>
        <v>119.60000000000001</v>
      </c>
      <c r="H32" s="6">
        <f>G32/189</f>
        <v>0.63280423280423281</v>
      </c>
    </row>
    <row r="33" spans="1:8" ht="24" customHeight="1" x14ac:dyDescent="0.25">
      <c r="A33" s="8">
        <v>30</v>
      </c>
      <c r="B33" s="9" t="s">
        <v>16</v>
      </c>
      <c r="C33" s="10">
        <v>14</v>
      </c>
      <c r="D33" s="4">
        <v>26</v>
      </c>
      <c r="E33" s="10">
        <v>10</v>
      </c>
      <c r="F33" s="10">
        <v>9</v>
      </c>
      <c r="G33" s="2">
        <f>C33*3.1+D33*2.1+E33*1.1+F33*1.1</f>
        <v>118.9</v>
      </c>
      <c r="H33" s="6">
        <f>G33/189</f>
        <v>0.62910052910052916</v>
      </c>
    </row>
    <row r="34" spans="1:8" ht="21" x14ac:dyDescent="0.25">
      <c r="A34" s="2">
        <v>31</v>
      </c>
      <c r="B34" s="3" t="s">
        <v>61</v>
      </c>
      <c r="C34" s="5">
        <v>17</v>
      </c>
      <c r="D34" s="4">
        <v>23</v>
      </c>
      <c r="E34" s="7">
        <v>5</v>
      </c>
      <c r="F34" s="5">
        <v>10</v>
      </c>
      <c r="G34" s="2">
        <f>C34*3.1+D34*2.1+E34*1.1+F34*1.1</f>
        <v>117.5</v>
      </c>
      <c r="H34" s="6">
        <f>G34/189</f>
        <v>0.62169312169312174</v>
      </c>
    </row>
    <row r="35" spans="1:8" ht="21" x14ac:dyDescent="0.25">
      <c r="A35" s="8">
        <v>32</v>
      </c>
      <c r="B35" s="3" t="s">
        <v>49</v>
      </c>
      <c r="C35" s="4">
        <v>26</v>
      </c>
      <c r="D35" s="7">
        <v>11</v>
      </c>
      <c r="E35" s="7">
        <v>5</v>
      </c>
      <c r="F35" s="7">
        <v>2</v>
      </c>
      <c r="G35" s="2">
        <f>C35*3.1+D35*2.1+E35*1.1+F35*1.1</f>
        <v>111.40000000000002</v>
      </c>
      <c r="H35" s="6">
        <f>G35/189</f>
        <v>0.58941798941798951</v>
      </c>
    </row>
    <row r="36" spans="1:8" ht="21" x14ac:dyDescent="0.25">
      <c r="A36" s="2">
        <v>33</v>
      </c>
      <c r="B36" s="9" t="s">
        <v>64</v>
      </c>
      <c r="C36" s="10">
        <v>16</v>
      </c>
      <c r="D36" s="4">
        <v>22</v>
      </c>
      <c r="E36" s="7">
        <v>5</v>
      </c>
      <c r="F36" s="10">
        <v>9</v>
      </c>
      <c r="G36" s="2">
        <f>C36*3.1+D36*2.1+E36*1.1+F36*1.1</f>
        <v>111.20000000000002</v>
      </c>
      <c r="H36" s="6">
        <f>G36/189</f>
        <v>0.58835978835978842</v>
      </c>
    </row>
    <row r="37" spans="1:8" ht="21" x14ac:dyDescent="0.25">
      <c r="A37" s="8">
        <v>34</v>
      </c>
      <c r="B37" s="3" t="s">
        <v>51</v>
      </c>
      <c r="C37" s="5">
        <v>17</v>
      </c>
      <c r="D37" s="5">
        <v>16</v>
      </c>
      <c r="E37" s="4">
        <v>12</v>
      </c>
      <c r="F37" s="5">
        <v>10</v>
      </c>
      <c r="G37" s="2">
        <f>C37*3.1+D37*2.1+E37*1.1+F37*1.1</f>
        <v>110.50000000000001</v>
      </c>
      <c r="H37" s="6">
        <f>G37/189</f>
        <v>0.58465608465608476</v>
      </c>
    </row>
    <row r="38" spans="1:8" ht="21" x14ac:dyDescent="0.25">
      <c r="A38" s="2">
        <v>35</v>
      </c>
      <c r="B38" s="9" t="s">
        <v>12</v>
      </c>
      <c r="C38" s="10">
        <v>14</v>
      </c>
      <c r="D38" s="4">
        <v>24</v>
      </c>
      <c r="E38" s="10">
        <v>8</v>
      </c>
      <c r="F38" s="10">
        <v>7</v>
      </c>
      <c r="G38" s="2">
        <f>C38*3.1+D38*2.1+E38*1.1+F38*1.1</f>
        <v>110.30000000000001</v>
      </c>
      <c r="H38" s="6">
        <f>G38/189</f>
        <v>0.58359788359788367</v>
      </c>
    </row>
    <row r="39" spans="1:8" ht="21" x14ac:dyDescent="0.25">
      <c r="A39" s="8">
        <v>36</v>
      </c>
      <c r="B39" s="9" t="s">
        <v>42</v>
      </c>
      <c r="C39" s="10">
        <v>18</v>
      </c>
      <c r="D39" s="10">
        <v>16</v>
      </c>
      <c r="E39" s="4">
        <v>11</v>
      </c>
      <c r="F39" s="10">
        <v>8</v>
      </c>
      <c r="G39" s="2">
        <f>C39*3.1+D39*2.1+E39*1.1+F39*1.1</f>
        <v>110.3</v>
      </c>
      <c r="H39" s="6">
        <f>G39/189</f>
        <v>0.58359788359788356</v>
      </c>
    </row>
    <row r="40" spans="1:8" ht="21" x14ac:dyDescent="0.25">
      <c r="A40" s="2">
        <v>37</v>
      </c>
      <c r="B40" s="9" t="s">
        <v>35</v>
      </c>
      <c r="C40" s="10">
        <v>13</v>
      </c>
      <c r="D40" s="4">
        <v>26</v>
      </c>
      <c r="E40" s="10">
        <v>6</v>
      </c>
      <c r="F40" s="10">
        <v>6</v>
      </c>
      <c r="G40" s="2">
        <f>C40*3.1+D40*2.1+E40*1.1+F40*1.1</f>
        <v>108.1</v>
      </c>
      <c r="H40" s="6">
        <f>G40/189</f>
        <v>0.57195767195767189</v>
      </c>
    </row>
    <row r="41" spans="1:8" ht="21" x14ac:dyDescent="0.25">
      <c r="A41" s="8">
        <v>38</v>
      </c>
      <c r="B41" s="9" t="s">
        <v>24</v>
      </c>
      <c r="C41" s="10">
        <v>17</v>
      </c>
      <c r="D41" s="10">
        <v>19</v>
      </c>
      <c r="E41" s="10">
        <v>9</v>
      </c>
      <c r="F41" s="7">
        <v>4</v>
      </c>
      <c r="G41" s="2">
        <f>C41*3.1+D41*2.1+E41*1.1+F41*1.1</f>
        <v>106.9</v>
      </c>
      <c r="H41" s="6">
        <f>G41/189</f>
        <v>0.56560846560846567</v>
      </c>
    </row>
    <row r="42" spans="1:8" ht="21" x14ac:dyDescent="0.25">
      <c r="A42" s="2">
        <v>39</v>
      </c>
      <c r="B42" s="3" t="s">
        <v>36</v>
      </c>
      <c r="C42" s="5">
        <v>12</v>
      </c>
      <c r="D42" s="5">
        <v>25</v>
      </c>
      <c r="E42" s="5">
        <v>8</v>
      </c>
      <c r="F42" s="5">
        <v>7</v>
      </c>
      <c r="G42" s="2">
        <f>C42*3.1+D42*2.1+E42*1.1+F42*1.1</f>
        <v>106.2</v>
      </c>
      <c r="H42" s="6">
        <f>G42/189</f>
        <v>0.56190476190476191</v>
      </c>
    </row>
    <row r="43" spans="1:8" ht="21" x14ac:dyDescent="0.25">
      <c r="A43" s="8">
        <v>40</v>
      </c>
      <c r="B43" s="9" t="s">
        <v>68</v>
      </c>
      <c r="C43" s="10">
        <v>17</v>
      </c>
      <c r="D43" s="10">
        <v>18</v>
      </c>
      <c r="E43" s="10">
        <v>8</v>
      </c>
      <c r="F43" s="10">
        <v>6</v>
      </c>
      <c r="G43" s="2">
        <f>C43*3.1+D43*2.1+E43*1.1+F43*1.1</f>
        <v>105.89999999999999</v>
      </c>
      <c r="H43" s="6">
        <f>G43/189</f>
        <v>0.56031746031746033</v>
      </c>
    </row>
    <row r="44" spans="1:8" ht="21" x14ac:dyDescent="0.25">
      <c r="A44" s="2">
        <v>41</v>
      </c>
      <c r="B44" s="3" t="s">
        <v>59</v>
      </c>
      <c r="C44" s="5">
        <v>17</v>
      </c>
      <c r="D44" s="5">
        <v>17</v>
      </c>
      <c r="E44" s="5">
        <v>7</v>
      </c>
      <c r="F44" s="5">
        <v>6</v>
      </c>
      <c r="G44" s="2">
        <f>C44*3.1+D44*2.1+E44*1.1+F44*1.1</f>
        <v>102.7</v>
      </c>
      <c r="H44" s="6">
        <f>G44/189</f>
        <v>0.54338624338624342</v>
      </c>
    </row>
    <row r="45" spans="1:8" ht="21" x14ac:dyDescent="0.25">
      <c r="A45" s="8">
        <v>42</v>
      </c>
      <c r="B45" s="9" t="s">
        <v>70</v>
      </c>
      <c r="C45" s="10">
        <v>19</v>
      </c>
      <c r="D45" s="10">
        <v>14</v>
      </c>
      <c r="E45" s="7">
        <v>4</v>
      </c>
      <c r="F45" s="10">
        <v>9</v>
      </c>
      <c r="G45" s="2">
        <f>C45*3.1+D45*2.1+E45*1.1+F45*1.1</f>
        <v>102.60000000000001</v>
      </c>
      <c r="H45" s="6">
        <f>G45/189</f>
        <v>0.54285714285714293</v>
      </c>
    </row>
    <row r="46" spans="1:8" ht="21" x14ac:dyDescent="0.25">
      <c r="A46" s="2">
        <v>43</v>
      </c>
      <c r="B46" s="3" t="s">
        <v>63</v>
      </c>
      <c r="C46" s="5">
        <v>17</v>
      </c>
      <c r="D46" s="5">
        <v>15</v>
      </c>
      <c r="E46" s="5">
        <v>8</v>
      </c>
      <c r="F46" s="5">
        <v>7</v>
      </c>
      <c r="G46" s="2">
        <f>C46*3.1+D46*2.1+E46*1.1+F46*1.1</f>
        <v>100.7</v>
      </c>
      <c r="H46" s="6">
        <f>G46/189</f>
        <v>0.53280423280423284</v>
      </c>
    </row>
    <row r="47" spans="1:8" ht="21" x14ac:dyDescent="0.25">
      <c r="A47" s="8">
        <v>44</v>
      </c>
      <c r="B47" s="3" t="s">
        <v>23</v>
      </c>
      <c r="C47" s="5">
        <v>13</v>
      </c>
      <c r="D47" s="4">
        <v>21</v>
      </c>
      <c r="E47" s="5">
        <v>7</v>
      </c>
      <c r="F47" s="5">
        <v>7</v>
      </c>
      <c r="G47" s="2">
        <f>C47*3.1+D47*2.1+E47*1.1+F47*1.1</f>
        <v>99.800000000000011</v>
      </c>
      <c r="H47" s="6">
        <f>G47/189</f>
        <v>0.52804232804232809</v>
      </c>
    </row>
    <row r="48" spans="1:8" ht="21" x14ac:dyDescent="0.25">
      <c r="A48" s="2">
        <v>45</v>
      </c>
      <c r="B48" s="3" t="s">
        <v>55</v>
      </c>
      <c r="C48" s="5">
        <v>16</v>
      </c>
      <c r="D48" s="5">
        <v>15</v>
      </c>
      <c r="E48" s="5">
        <v>7</v>
      </c>
      <c r="F48" s="5">
        <v>7</v>
      </c>
      <c r="G48" s="2">
        <f>C48*3.1+D48*2.1+E48*1.1+F48*1.1</f>
        <v>96.5</v>
      </c>
      <c r="H48" s="6">
        <f>G48/189</f>
        <v>0.51058201058201058</v>
      </c>
    </row>
    <row r="49" spans="1:8" ht="21" x14ac:dyDescent="0.25">
      <c r="A49" s="8">
        <v>46</v>
      </c>
      <c r="B49" s="9" t="s">
        <v>37</v>
      </c>
      <c r="C49" s="7">
        <v>19</v>
      </c>
      <c r="D49" s="7">
        <v>12</v>
      </c>
      <c r="E49" s="7">
        <v>5</v>
      </c>
      <c r="F49" s="10">
        <v>6</v>
      </c>
      <c r="G49" s="2">
        <f>C49*3.1+D49*2.1+E49*1.1+F49*1.1</f>
        <v>96.199999999999989</v>
      </c>
      <c r="H49" s="6">
        <f>G49/189</f>
        <v>0.50899470899470889</v>
      </c>
    </row>
    <row r="50" spans="1:8" ht="21" x14ac:dyDescent="0.25">
      <c r="A50" s="2">
        <v>47</v>
      </c>
      <c r="B50" s="9" t="s">
        <v>66</v>
      </c>
      <c r="C50" s="10">
        <v>15</v>
      </c>
      <c r="D50" s="10">
        <v>18</v>
      </c>
      <c r="E50" s="10">
        <v>6</v>
      </c>
      <c r="F50" s="7">
        <v>4</v>
      </c>
      <c r="G50" s="2">
        <f>C50*3.1+D50*2.1+E50*1.1+F50*1.1</f>
        <v>95.300000000000011</v>
      </c>
      <c r="H50" s="6">
        <f>G50/189</f>
        <v>0.50423280423280425</v>
      </c>
    </row>
    <row r="51" spans="1:8" ht="21" x14ac:dyDescent="0.25">
      <c r="A51" s="8">
        <v>48</v>
      </c>
      <c r="B51" s="3" t="s">
        <v>39</v>
      </c>
      <c r="C51" s="5">
        <v>18</v>
      </c>
      <c r="D51" s="7">
        <v>10</v>
      </c>
      <c r="E51" s="5">
        <v>8</v>
      </c>
      <c r="F51" s="5">
        <v>7</v>
      </c>
      <c r="G51" s="2">
        <f>C51*3.1+D51*2.1+E51*1.1+F51*1.1</f>
        <v>93.300000000000011</v>
      </c>
      <c r="H51" s="6">
        <f>G51/189</f>
        <v>0.49365079365079373</v>
      </c>
    </row>
    <row r="52" spans="1:8" ht="21" x14ac:dyDescent="0.25">
      <c r="A52" s="2">
        <v>49</v>
      </c>
      <c r="B52" s="9" t="s">
        <v>46</v>
      </c>
      <c r="C52" s="10">
        <v>15</v>
      </c>
      <c r="D52" s="10">
        <v>16</v>
      </c>
      <c r="E52" s="10">
        <v>7</v>
      </c>
      <c r="F52" s="7">
        <v>4</v>
      </c>
      <c r="G52" s="2">
        <f>C52*3.1+D52*2.1+E52*1.1+F52*1.1</f>
        <v>92.2</v>
      </c>
      <c r="H52" s="6">
        <f>G52/189</f>
        <v>0.48783068783068784</v>
      </c>
    </row>
    <row r="53" spans="1:8" ht="21" x14ac:dyDescent="0.25">
      <c r="A53" s="8">
        <v>50</v>
      </c>
      <c r="B53" s="9" t="s">
        <v>62</v>
      </c>
      <c r="C53" s="10">
        <v>16</v>
      </c>
      <c r="D53" s="7">
        <v>10</v>
      </c>
      <c r="E53" s="10">
        <v>10</v>
      </c>
      <c r="F53" s="10">
        <v>6</v>
      </c>
      <c r="G53" s="2">
        <f>C53*3.1+D53*2.1+E53*1.1+F53*1.1</f>
        <v>88.199999999999989</v>
      </c>
      <c r="H53" s="6">
        <f>G53/189</f>
        <v>0.46666666666666662</v>
      </c>
    </row>
    <row r="54" spans="1:8" ht="21" x14ac:dyDescent="0.25">
      <c r="A54" s="2">
        <v>51</v>
      </c>
      <c r="B54" s="3" t="s">
        <v>15</v>
      </c>
      <c r="C54" s="5">
        <v>15</v>
      </c>
      <c r="D54" s="5">
        <v>16</v>
      </c>
      <c r="E54" s="7">
        <v>2</v>
      </c>
      <c r="F54" s="7">
        <v>5</v>
      </c>
      <c r="G54" s="2">
        <f>C54*3.1+D54*2.1+E54*1.1+F54*1.1</f>
        <v>87.8</v>
      </c>
      <c r="H54" s="6">
        <f>G54/189</f>
        <v>0.46455026455026455</v>
      </c>
    </row>
    <row r="55" spans="1:8" ht="21" x14ac:dyDescent="0.25">
      <c r="A55" s="8">
        <v>52</v>
      </c>
      <c r="B55" s="9" t="s">
        <v>52</v>
      </c>
      <c r="C55" s="7">
        <v>11</v>
      </c>
      <c r="D55" s="10">
        <v>19</v>
      </c>
      <c r="E55" s="10">
        <v>7</v>
      </c>
      <c r="F55" s="7">
        <v>4</v>
      </c>
      <c r="G55" s="2">
        <f>C55*3.1+D55*2.1+E55*1.1+F55*1.1</f>
        <v>86.100000000000009</v>
      </c>
      <c r="H55" s="6">
        <f>G55/189</f>
        <v>0.4555555555555556</v>
      </c>
    </row>
    <row r="56" spans="1:8" ht="21" x14ac:dyDescent="0.25">
      <c r="A56" s="2">
        <v>53</v>
      </c>
      <c r="B56" s="9" t="s">
        <v>54</v>
      </c>
      <c r="C56" s="7">
        <v>9</v>
      </c>
      <c r="D56" s="4">
        <v>22</v>
      </c>
      <c r="E56" s="7">
        <v>5</v>
      </c>
      <c r="F56" s="7">
        <v>4</v>
      </c>
      <c r="G56" s="2">
        <f>C56*3.1+D56*2.1+E56*1.1+F56*1.1</f>
        <v>84.000000000000014</v>
      </c>
      <c r="H56" s="6">
        <f>G56/189</f>
        <v>0.44444444444444453</v>
      </c>
    </row>
    <row r="57" spans="1:8" ht="21" x14ac:dyDescent="0.25">
      <c r="A57" s="8">
        <v>54</v>
      </c>
      <c r="B57" s="9" t="s">
        <v>60</v>
      </c>
      <c r="C57" s="10">
        <v>17</v>
      </c>
      <c r="D57" s="7">
        <v>8</v>
      </c>
      <c r="E57" s="7">
        <v>3</v>
      </c>
      <c r="F57" s="10">
        <v>7</v>
      </c>
      <c r="G57" s="2">
        <f>C57*3.1+D57*2.1+E57*1.1+F57*1.1</f>
        <v>80.5</v>
      </c>
      <c r="H57" s="6">
        <f>G57/189</f>
        <v>0.42592592592592593</v>
      </c>
    </row>
    <row r="58" spans="1:8" ht="21" x14ac:dyDescent="0.25">
      <c r="A58" s="2">
        <v>55</v>
      </c>
      <c r="B58" s="9" t="s">
        <v>48</v>
      </c>
      <c r="C58" s="10">
        <v>19</v>
      </c>
      <c r="D58" s="7">
        <v>6</v>
      </c>
      <c r="E58" s="7">
        <v>3</v>
      </c>
      <c r="F58" s="7">
        <v>4</v>
      </c>
      <c r="G58" s="2">
        <f>C58*3.1+D58*2.1+E58*1.1+F58*1.1</f>
        <v>79.2</v>
      </c>
      <c r="H58" s="6">
        <f>G58/189</f>
        <v>0.41904761904761906</v>
      </c>
    </row>
    <row r="59" spans="1:8" ht="21" x14ac:dyDescent="0.25">
      <c r="A59" s="8">
        <v>56</v>
      </c>
      <c r="B59" s="3" t="s">
        <v>53</v>
      </c>
      <c r="C59" s="7">
        <v>9</v>
      </c>
      <c r="D59" s="5">
        <v>18</v>
      </c>
      <c r="E59" s="7">
        <v>4</v>
      </c>
      <c r="F59" s="5">
        <v>7</v>
      </c>
      <c r="G59" s="2">
        <f>C59*3.1+D59*2.1+E59*1.1+F59*1.1</f>
        <v>77.800000000000011</v>
      </c>
      <c r="H59" s="6">
        <f>G59/189</f>
        <v>0.4116402116402117</v>
      </c>
    </row>
    <row r="60" spans="1:8" ht="21" x14ac:dyDescent="0.25">
      <c r="A60" s="2">
        <v>57</v>
      </c>
      <c r="B60" s="3" t="s">
        <v>22</v>
      </c>
      <c r="C60" s="7">
        <v>10</v>
      </c>
      <c r="D60" s="5">
        <v>16</v>
      </c>
      <c r="E60" s="7">
        <v>5</v>
      </c>
      <c r="F60" s="5">
        <v>6</v>
      </c>
      <c r="G60" s="2">
        <f>C60*3.1+D60*2.1+E60*1.1+F60*1.1</f>
        <v>76.699999999999989</v>
      </c>
      <c r="H60" s="6">
        <f>G60/189</f>
        <v>0.40582010582010575</v>
      </c>
    </row>
    <row r="61" spans="1:8" ht="21" x14ac:dyDescent="0.25">
      <c r="A61" s="8">
        <v>58</v>
      </c>
      <c r="B61" s="3" t="s">
        <v>67</v>
      </c>
      <c r="C61" s="5">
        <v>15</v>
      </c>
      <c r="D61" s="7">
        <v>8</v>
      </c>
      <c r="E61" s="5">
        <v>6</v>
      </c>
      <c r="F61" s="5">
        <v>6</v>
      </c>
      <c r="G61" s="2">
        <f>C61*3.1+D61*2.1+E61*1.1+F61*1.1</f>
        <v>76.499999999999986</v>
      </c>
      <c r="H61" s="6">
        <f>G61/189</f>
        <v>0.40476190476190471</v>
      </c>
    </row>
    <row r="62" spans="1:8" ht="21" x14ac:dyDescent="0.25">
      <c r="A62" s="2">
        <v>59</v>
      </c>
      <c r="B62" s="9" t="s">
        <v>58</v>
      </c>
      <c r="C62" s="7">
        <v>9</v>
      </c>
      <c r="D62" s="10">
        <v>13</v>
      </c>
      <c r="E62" s="10">
        <v>9</v>
      </c>
      <c r="F62" s="10">
        <v>8</v>
      </c>
      <c r="G62" s="2">
        <f>C62*3.1+D62*2.1+E62*1.1+F62*1.1</f>
        <v>73.900000000000006</v>
      </c>
      <c r="H62" s="6">
        <f>G62/189</f>
        <v>0.39100529100529102</v>
      </c>
    </row>
    <row r="63" spans="1:8" ht="21" x14ac:dyDescent="0.25">
      <c r="A63" s="8">
        <v>60</v>
      </c>
      <c r="B63" s="9" t="s">
        <v>20</v>
      </c>
      <c r="C63" s="10">
        <v>13</v>
      </c>
      <c r="D63" s="7">
        <v>11</v>
      </c>
      <c r="E63" s="7">
        <v>3</v>
      </c>
      <c r="F63" s="7">
        <v>4</v>
      </c>
      <c r="G63" s="2">
        <f>C63*3.1+D63*2.1+E63*1.1+F63*1.1</f>
        <v>71.100000000000009</v>
      </c>
      <c r="H63" s="6">
        <f>G63/189</f>
        <v>0.37619047619047624</v>
      </c>
    </row>
    <row r="64" spans="1:8" ht="21" x14ac:dyDescent="0.25">
      <c r="A64" s="2">
        <v>61</v>
      </c>
      <c r="B64" s="3" t="s">
        <v>41</v>
      </c>
      <c r="C64" s="7">
        <v>11</v>
      </c>
      <c r="D64" s="5">
        <v>14</v>
      </c>
      <c r="E64" s="7">
        <v>2</v>
      </c>
      <c r="F64" s="7">
        <v>3</v>
      </c>
      <c r="G64" s="2">
        <f>C64*3.1+D64*2.1+E64*1.1+F64*1.1</f>
        <v>69</v>
      </c>
      <c r="H64" s="6">
        <f>G64/189</f>
        <v>0.36507936507936506</v>
      </c>
    </row>
    <row r="65" spans="1:8" ht="21" x14ac:dyDescent="0.25">
      <c r="A65" s="8">
        <v>62</v>
      </c>
      <c r="B65" s="3" t="s">
        <v>47</v>
      </c>
      <c r="C65" s="7">
        <v>4</v>
      </c>
      <c r="D65" s="7">
        <v>11</v>
      </c>
      <c r="E65" s="5">
        <v>9</v>
      </c>
      <c r="F65" s="7">
        <v>3</v>
      </c>
      <c r="G65" s="2">
        <f>C65*3.1+D65*2.1+E65*1.1+F65*1.1</f>
        <v>48.699999999999996</v>
      </c>
      <c r="H65" s="6">
        <f>G65/189</f>
        <v>0.25767195767195766</v>
      </c>
    </row>
  </sheetData>
  <sortState ref="B5:H65">
    <sortCondition descending="1" ref="H4"/>
  </sortState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Natijalar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2026-03-11T03:43:54Z</dcterms:created>
  <dcterms:modified xsi:type="dcterms:W3CDTF">2026-03-11T07:04:40Z</dcterms:modified>
  <cp:category/>
</cp:coreProperties>
</file>