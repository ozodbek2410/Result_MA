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833F00-FB29-4C89-AE6B-2A44EF8562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1 Yurid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I46" i="1" s="1"/>
  <c r="H33" i="1"/>
  <c r="I33" i="1" s="1"/>
  <c r="H32" i="1"/>
  <c r="I32" i="1" s="1"/>
  <c r="I30" i="1"/>
  <c r="H30" i="1"/>
  <c r="H29" i="1"/>
  <c r="I29" i="1" s="1"/>
  <c r="H21" i="1"/>
  <c r="I21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7" i="1"/>
  <c r="I7" i="1" s="1"/>
  <c r="H6" i="1"/>
  <c r="I6" i="1" s="1"/>
  <c r="H4" i="1"/>
  <c r="I4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1" i="1"/>
  <c r="I31" i="1" s="1"/>
  <c r="H28" i="1"/>
  <c r="I28" i="1" s="1"/>
  <c r="H27" i="1"/>
  <c r="I27" i="1" s="1"/>
  <c r="I26" i="1"/>
  <c r="H26" i="1"/>
  <c r="H25" i="1"/>
  <c r="I25" i="1" s="1"/>
  <c r="H24" i="1"/>
  <c r="I24" i="1" s="1"/>
  <c r="H23" i="1"/>
  <c r="I23" i="1" s="1"/>
  <c r="H22" i="1"/>
  <c r="I22" i="1" s="1"/>
  <c r="H20" i="1"/>
  <c r="I20" i="1" s="1"/>
  <c r="H19" i="1"/>
  <c r="I19" i="1" s="1"/>
  <c r="H18" i="1"/>
  <c r="I18" i="1" s="1"/>
  <c r="H17" i="1"/>
  <c r="I17" i="1" s="1"/>
  <c r="I16" i="1"/>
  <c r="H16" i="1"/>
  <c r="I15" i="1"/>
  <c r="H15" i="1"/>
  <c r="H8" i="1"/>
  <c r="I8" i="1" s="1"/>
  <c r="H5" i="1"/>
  <c r="I5" i="1" s="1"/>
</calcChain>
</file>

<file path=xl/sharedStrings.xml><?xml version="1.0" encoding="utf-8"?>
<sst xmlns="http://schemas.openxmlformats.org/spreadsheetml/2006/main" count="95" uniqueCount="54">
  <si>
    <t>T/R</t>
  </si>
  <si>
    <t>O'quvchining F.I.SH</t>
  </si>
  <si>
    <t>Ball</t>
  </si>
  <si>
    <t>Foiz</t>
  </si>
  <si>
    <t>Xayrullayev Firdavs</t>
  </si>
  <si>
    <t>Furqatov Manuchar</t>
  </si>
  <si>
    <t>Samadov Firdavs</t>
  </si>
  <si>
    <t xml:space="preserve">Ismoilova Shukrona </t>
  </si>
  <si>
    <t>A'lamov Sardorbek</t>
  </si>
  <si>
    <t>Xo'jamurodov Humoyun</t>
  </si>
  <si>
    <t xml:space="preserve">Ikromov Ibrohim </t>
  </si>
  <si>
    <t>Muzaffarova Shahina</t>
  </si>
  <si>
    <t xml:space="preserve">Baxshullayev Mirxon </t>
  </si>
  <si>
    <t>Qosimova Feruza</t>
  </si>
  <si>
    <t xml:space="preserve">Abdukarimov Diyorbek </t>
  </si>
  <si>
    <t>Shuxratova  Dilnoza</t>
  </si>
  <si>
    <t>Abdumominov Laziz</t>
  </si>
  <si>
    <t>Sadullayeva Shahrizoda</t>
  </si>
  <si>
    <t xml:space="preserve">Jumaqulova Malika </t>
  </si>
  <si>
    <t>Sheraliyev  Jasur</t>
  </si>
  <si>
    <t>Rayxonova  Gulrux</t>
  </si>
  <si>
    <t>Toshtemirov Odilbek</t>
  </si>
  <si>
    <t>Odilov Ozodbek</t>
  </si>
  <si>
    <t>Akmalov  Nurzod</t>
  </si>
  <si>
    <t>Hakimova Nodira</t>
  </si>
  <si>
    <t>Odilov  Abdurauf</t>
  </si>
  <si>
    <t>Abdunabiyev Ozodbek</t>
  </si>
  <si>
    <t>Erkinov Asilbek</t>
  </si>
  <si>
    <t>Adizov  Jahongir</t>
  </si>
  <si>
    <t xml:space="preserve">Asatullayev Sayyid Amirxon </t>
  </si>
  <si>
    <t>Mavlonov  Sarvar</t>
  </si>
  <si>
    <t>Shuxratov Begzod</t>
  </si>
  <si>
    <t>11-blok test</t>
  </si>
  <si>
    <t>1-blok</t>
  </si>
  <si>
    <t>2-blok</t>
  </si>
  <si>
    <t>majburiy</t>
  </si>
  <si>
    <t>11-yuridik</t>
  </si>
  <si>
    <t>Shokirova Marjona</t>
  </si>
  <si>
    <t>IO</t>
  </si>
  <si>
    <t>Sobirova Zebiniso</t>
  </si>
  <si>
    <t>Muhiddinova Dilnoza</t>
  </si>
  <si>
    <t>Komilova Munisa</t>
  </si>
  <si>
    <t>Hikmatova Dinara</t>
  </si>
  <si>
    <t>OT</t>
  </si>
  <si>
    <t>Farhodova Charos</t>
  </si>
  <si>
    <t>Shokirova Shahzoda</t>
  </si>
  <si>
    <t>Erkinova Sarvinoz</t>
  </si>
  <si>
    <t xml:space="preserve">Qahhorova Durdona </t>
  </si>
  <si>
    <t>Fazliddinova Munojot</t>
  </si>
  <si>
    <t>Xudoyberdiyev Sarvar</t>
  </si>
  <si>
    <t>Hojiyeva Gulyuz</t>
  </si>
  <si>
    <t>Erkinova Muyassar</t>
  </si>
  <si>
    <t xml:space="preserve">Mustafoyeva Ruxshona </t>
  </si>
  <si>
    <t>Barotova Aziza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</si>
</sst>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6"/>
  <sheetViews>
    <sheetView tabSelected="1" workbookViewId="0">
      <selection activeCell="G8" sqref="G8"/>
    </sheetView>
  </sheetViews>
  <sheetFormatPr defaultColWidth="9" defaultRowHeight="15"/>
  <cols>
    <col min="1" max="1" width="9.140625" bestFit="1" customWidth="1"/>
    <col min="2" max="3" width="27" customWidth="1"/>
    <col min="4" max="4" width="9.140625" bestFit="1" customWidth="1"/>
    <col min="5" max="5" width="9.5703125" customWidth="1"/>
    <col min="6" max="7" width="11.5703125" customWidth="1"/>
    <col min="8" max="8" width="9.140625" bestFit="1" customWidth="1"/>
    <col min="9" max="9" width="9.7109375" bestFit="1" customWidth="1"/>
  </cols>
  <sheetData>
    <row r="2" spans="1:9" ht="18.75">
      <c r="A2" s="1" t="s">
        <v>32</v>
      </c>
      <c r="B2" s="1"/>
      <c r="C2" s="1"/>
      <c r="D2" s="1"/>
      <c r="E2" s="1"/>
      <c r="F2" s="1"/>
      <c r="G2" s="1"/>
      <c r="H2" s="1"/>
      <c r="I2" s="1"/>
    </row>
    <row r="3" spans="1:9" ht="18.75">
      <c r="A3" s="2" t="s">
        <v>0</v>
      </c>
      <c r="B3" s="2" t="s">
        <v>1</v>
      </c>
      <c r="C3" s="2" t="s">
        <v>36</v>
      </c>
      <c r="D3" s="2" t="s">
        <v>33</v>
      </c>
      <c r="E3" s="2" t="s">
        <v>34</v>
      </c>
      <c r="F3" s="2" t="s">
        <v>35</v>
      </c>
      <c r="G3" s="2"/>
      <c r="H3" s="2" t="s">
        <v>2</v>
      </c>
      <c r="I3" s="2" t="s">
        <v>3</v>
      </c>
    </row>
    <row r="4" spans="1:9" ht="18.75">
      <c r="A4" s="3">
        <v>1</v>
      </c>
      <c r="B4" s="6" t="s">
        <v>37</v>
      </c>
      <c r="C4" s="6" t="s">
        <v>38</v>
      </c>
      <c r="D4" s="6">
        <v>30</v>
      </c>
      <c r="E4" s="6">
        <v>29.9</v>
      </c>
      <c r="F4" s="6">
        <v>14</v>
      </c>
      <c r="G4" s="7">
        <v>15</v>
      </c>
      <c r="H4" s="6">
        <f>D4*3.1+E4*2.1+F4*1.1+G4*1.1</f>
        <v>187.69</v>
      </c>
      <c r="I4" s="8">
        <f>H4/189</f>
        <v>0.9930687830687831</v>
      </c>
    </row>
    <row r="5" spans="1:9" ht="18.75">
      <c r="A5" s="3">
        <v>2</v>
      </c>
      <c r="B5" s="5" t="s">
        <v>4</v>
      </c>
      <c r="C5" s="2" t="s">
        <v>36</v>
      </c>
      <c r="D5" s="3">
        <v>29</v>
      </c>
      <c r="E5" s="3">
        <v>30</v>
      </c>
      <c r="F5" s="3">
        <v>30</v>
      </c>
      <c r="G5" s="3"/>
      <c r="H5" s="3">
        <f>F5*1.1+E5*2.1+D5*3.1</f>
        <v>185.9</v>
      </c>
      <c r="I5" s="4">
        <f>H5/189</f>
        <v>0.98359788359788358</v>
      </c>
    </row>
    <row r="6" spans="1:9" ht="18.75">
      <c r="A6" s="3">
        <v>3</v>
      </c>
      <c r="B6" s="6" t="s">
        <v>39</v>
      </c>
      <c r="C6" s="6" t="s">
        <v>38</v>
      </c>
      <c r="D6" s="7">
        <v>30</v>
      </c>
      <c r="E6" s="6">
        <v>30</v>
      </c>
      <c r="F6" s="6">
        <v>12</v>
      </c>
      <c r="G6" s="7">
        <v>15</v>
      </c>
      <c r="H6" s="6">
        <f>D6*3.1+E6*2.1+F6*1.1+G6*1.1</f>
        <v>185.7</v>
      </c>
      <c r="I6" s="8">
        <f>H6/189</f>
        <v>0.98253968253968249</v>
      </c>
    </row>
    <row r="7" spans="1:9" ht="18.75">
      <c r="A7" s="3">
        <v>4</v>
      </c>
      <c r="B7" s="6" t="s">
        <v>40</v>
      </c>
      <c r="C7" s="6" t="s">
        <v>38</v>
      </c>
      <c r="D7" s="7">
        <v>30</v>
      </c>
      <c r="E7" s="6">
        <v>30</v>
      </c>
      <c r="F7" s="6">
        <v>11</v>
      </c>
      <c r="G7" s="7">
        <v>15</v>
      </c>
      <c r="H7" s="6">
        <f>D7*3.1+E7*2.1+F7*1.1+G7*1.1</f>
        <v>184.6</v>
      </c>
      <c r="I7" s="8">
        <f>H7/189</f>
        <v>0.97671957671957665</v>
      </c>
    </row>
    <row r="8" spans="1:9" ht="18.75">
      <c r="A8" s="3">
        <v>5</v>
      </c>
      <c r="B8" s="5" t="s">
        <v>5</v>
      </c>
      <c r="C8" s="2" t="s">
        <v>36</v>
      </c>
      <c r="D8" s="3">
        <v>26</v>
      </c>
      <c r="E8" s="3">
        <v>30</v>
      </c>
      <c r="F8" s="3">
        <v>30</v>
      </c>
      <c r="G8" s="3"/>
      <c r="H8" s="3">
        <f>F8*1.1+E8*2.1+D8*3.1</f>
        <v>176.60000000000002</v>
      </c>
      <c r="I8" s="4">
        <f>H8/189</f>
        <v>0.93439153439153455</v>
      </c>
    </row>
    <row r="9" spans="1:9" ht="18.75">
      <c r="A9" s="3">
        <v>6</v>
      </c>
      <c r="B9" s="6" t="s">
        <v>41</v>
      </c>
      <c r="C9" s="6" t="s">
        <v>38</v>
      </c>
      <c r="D9" s="7">
        <v>30</v>
      </c>
      <c r="E9" s="6">
        <v>30</v>
      </c>
      <c r="F9" s="6">
        <v>9</v>
      </c>
      <c r="G9" s="7">
        <v>8</v>
      </c>
      <c r="H9" s="6">
        <f>D9*3.1+E9*2.1+F9*1.1+G9*1.1</f>
        <v>174.70000000000002</v>
      </c>
      <c r="I9" s="8">
        <f>H9/189</f>
        <v>0.92433862433862446</v>
      </c>
    </row>
    <row r="10" spans="1:9" ht="18.75">
      <c r="A10" s="3">
        <v>7</v>
      </c>
      <c r="B10" s="6" t="s">
        <v>42</v>
      </c>
      <c r="C10" s="6" t="s">
        <v>43</v>
      </c>
      <c r="D10" s="6">
        <v>29.9</v>
      </c>
      <c r="E10" s="6">
        <v>30</v>
      </c>
      <c r="F10" s="6">
        <v>13</v>
      </c>
      <c r="G10" s="7">
        <v>4</v>
      </c>
      <c r="H10" s="6">
        <f>D10*3.1+E10*2.1+F10*1.1+G10*1.1</f>
        <v>174.39000000000001</v>
      </c>
      <c r="I10" s="8">
        <f>H10/189</f>
        <v>0.9226984126984128</v>
      </c>
    </row>
    <row r="11" spans="1:9" ht="18.75">
      <c r="A11" s="3">
        <v>8</v>
      </c>
      <c r="B11" s="6" t="s">
        <v>44</v>
      </c>
      <c r="C11" s="6" t="s">
        <v>38</v>
      </c>
      <c r="D11" s="7">
        <v>30</v>
      </c>
      <c r="E11" s="6">
        <v>29.9</v>
      </c>
      <c r="F11" s="6">
        <v>9</v>
      </c>
      <c r="G11" s="7">
        <v>7</v>
      </c>
      <c r="H11" s="6">
        <f>D11*3.1+E11*2.1+F11*1.1+G11*1.1</f>
        <v>173.39</v>
      </c>
      <c r="I11" s="8">
        <f>H11/189</f>
        <v>0.91740740740740734</v>
      </c>
    </row>
    <row r="12" spans="1:9" ht="18.75">
      <c r="A12" s="3">
        <v>9</v>
      </c>
      <c r="B12" s="6" t="s">
        <v>45</v>
      </c>
      <c r="C12" s="6" t="s">
        <v>38</v>
      </c>
      <c r="D12" s="7">
        <v>30</v>
      </c>
      <c r="E12" s="6">
        <v>30</v>
      </c>
      <c r="F12" s="6"/>
      <c r="G12" s="7">
        <v>15</v>
      </c>
      <c r="H12" s="6">
        <f>D12*3.1+E12*2.1+F12*1.1+G12*1.1</f>
        <v>172.5</v>
      </c>
      <c r="I12" s="8">
        <f>H12/189</f>
        <v>0.91269841269841268</v>
      </c>
    </row>
    <row r="13" spans="1:9" ht="18.75">
      <c r="A13" s="3">
        <v>10</v>
      </c>
      <c r="B13" s="6" t="s">
        <v>46</v>
      </c>
      <c r="C13" s="6" t="s">
        <v>38</v>
      </c>
      <c r="D13" s="6">
        <v>30</v>
      </c>
      <c r="E13" s="6">
        <v>27.4</v>
      </c>
      <c r="F13" s="6"/>
      <c r="G13" s="7">
        <v>15</v>
      </c>
      <c r="H13" s="6">
        <f>D13*3.1+E13*2.1+F13*1.1+G13*1.1</f>
        <v>167.04</v>
      </c>
      <c r="I13" s="8">
        <f>H13/189</f>
        <v>0.88380952380952382</v>
      </c>
    </row>
    <row r="14" spans="1:9" ht="18.75">
      <c r="A14" s="3">
        <v>11</v>
      </c>
      <c r="B14" s="6" t="s">
        <v>47</v>
      </c>
      <c r="C14" s="6" t="s">
        <v>38</v>
      </c>
      <c r="D14" s="7">
        <v>30</v>
      </c>
      <c r="E14" s="6">
        <v>28</v>
      </c>
      <c r="F14" s="6">
        <v>7</v>
      </c>
      <c r="G14" s="7">
        <v>5</v>
      </c>
      <c r="H14" s="6">
        <f>D14*3.1+E14*2.1+F14*1.1+G14*1.1</f>
        <v>165</v>
      </c>
      <c r="I14" s="8">
        <f>H14/189</f>
        <v>0.87301587301587302</v>
      </c>
    </row>
    <row r="15" spans="1:9" ht="18.75">
      <c r="A15" s="3">
        <v>12</v>
      </c>
      <c r="B15" s="5" t="s">
        <v>6</v>
      </c>
      <c r="C15" s="2" t="s">
        <v>36</v>
      </c>
      <c r="D15" s="3">
        <v>22</v>
      </c>
      <c r="E15" s="3">
        <v>30</v>
      </c>
      <c r="F15" s="3">
        <v>30</v>
      </c>
      <c r="G15" s="3"/>
      <c r="H15" s="3">
        <f>F15*1.1+E15*2.1+D15*3.1</f>
        <v>164.2</v>
      </c>
      <c r="I15" s="4">
        <f>H15/189</f>
        <v>0.86878306878306877</v>
      </c>
    </row>
    <row r="16" spans="1:9" ht="18.75">
      <c r="A16" s="3">
        <v>13</v>
      </c>
      <c r="B16" s="5" t="s">
        <v>7</v>
      </c>
      <c r="C16" s="2" t="s">
        <v>36</v>
      </c>
      <c r="D16" s="3">
        <v>21</v>
      </c>
      <c r="E16" s="3">
        <v>30</v>
      </c>
      <c r="F16" s="3">
        <v>30</v>
      </c>
      <c r="G16" s="3"/>
      <c r="H16" s="3">
        <f>F16*1.1+E16*2.1+D16*3.1</f>
        <v>161.10000000000002</v>
      </c>
      <c r="I16" s="4">
        <f>H16/189</f>
        <v>0.85238095238095246</v>
      </c>
    </row>
    <row r="17" spans="1:9" ht="18.75">
      <c r="A17" s="3">
        <v>14</v>
      </c>
      <c r="B17" s="5" t="s">
        <v>8</v>
      </c>
      <c r="C17" s="2" t="s">
        <v>36</v>
      </c>
      <c r="D17" s="3">
        <v>21</v>
      </c>
      <c r="E17" s="3">
        <v>30</v>
      </c>
      <c r="F17" s="3">
        <v>28</v>
      </c>
      <c r="G17" s="3"/>
      <c r="H17" s="3">
        <f>F17*1.1+E17*2.1+D17*3.1</f>
        <v>158.90000000000003</v>
      </c>
      <c r="I17" s="4">
        <f>H17/189</f>
        <v>0.8407407407407409</v>
      </c>
    </row>
    <row r="18" spans="1:9" ht="18.75">
      <c r="A18" s="3">
        <v>15</v>
      </c>
      <c r="B18" s="5" t="s">
        <v>9</v>
      </c>
      <c r="C18" s="2" t="s">
        <v>36</v>
      </c>
      <c r="D18" s="3">
        <v>22</v>
      </c>
      <c r="E18" s="3">
        <v>30</v>
      </c>
      <c r="F18" s="3">
        <v>25</v>
      </c>
      <c r="G18" s="3"/>
      <c r="H18" s="3">
        <f>F18*1.1+E18*2.1+D18*3.1</f>
        <v>158.69999999999999</v>
      </c>
      <c r="I18" s="4">
        <f>H18/189</f>
        <v>0.83968253968253959</v>
      </c>
    </row>
    <row r="19" spans="1:9" ht="18.75">
      <c r="A19" s="3">
        <v>16</v>
      </c>
      <c r="B19" s="5" t="s">
        <v>10</v>
      </c>
      <c r="C19" s="2" t="s">
        <v>36</v>
      </c>
      <c r="D19" s="3">
        <v>19</v>
      </c>
      <c r="E19" s="3">
        <v>30</v>
      </c>
      <c r="F19" s="3">
        <v>29</v>
      </c>
      <c r="G19" s="3"/>
      <c r="H19" s="3">
        <f>F19*1.1+E19*2.1+D19*3.1</f>
        <v>153.80000000000001</v>
      </c>
      <c r="I19" s="4">
        <f>H19/189</f>
        <v>0.81375661375661379</v>
      </c>
    </row>
    <row r="20" spans="1:9" ht="18.75">
      <c r="A20" s="3">
        <v>17</v>
      </c>
      <c r="B20" s="5" t="s">
        <v>11</v>
      </c>
      <c r="C20" s="2" t="s">
        <v>36</v>
      </c>
      <c r="D20" s="3">
        <v>20</v>
      </c>
      <c r="E20" s="3">
        <v>30</v>
      </c>
      <c r="F20" s="3">
        <v>25</v>
      </c>
      <c r="G20" s="3"/>
      <c r="H20" s="3">
        <f>F20*1.1+E20*2.1+D20*3.1</f>
        <v>152.5</v>
      </c>
      <c r="I20" s="4">
        <f>H20/189</f>
        <v>0.80687830687830686</v>
      </c>
    </row>
    <row r="21" spans="1:9" ht="18.75">
      <c r="A21" s="3">
        <v>18</v>
      </c>
      <c r="B21" s="6" t="s">
        <v>48</v>
      </c>
      <c r="C21" s="6" t="s">
        <v>38</v>
      </c>
      <c r="D21" s="7">
        <v>21</v>
      </c>
      <c r="E21" s="6">
        <v>25</v>
      </c>
      <c r="F21" s="6">
        <v>14</v>
      </c>
      <c r="G21" s="7">
        <v>15</v>
      </c>
      <c r="H21" s="6">
        <f>D21*3.1+E21*2.1+F21*1.1+G21*1.1</f>
        <v>149.5</v>
      </c>
      <c r="I21" s="8">
        <f>H21/189</f>
        <v>0.79100529100529104</v>
      </c>
    </row>
    <row r="22" spans="1:9" ht="18.75">
      <c r="A22" s="3">
        <v>19</v>
      </c>
      <c r="B22" s="5" t="s">
        <v>12</v>
      </c>
      <c r="C22" s="2" t="s">
        <v>36</v>
      </c>
      <c r="D22" s="3">
        <v>18</v>
      </c>
      <c r="E22" s="3">
        <v>30</v>
      </c>
      <c r="F22" s="3">
        <v>27</v>
      </c>
      <c r="G22" s="3"/>
      <c r="H22" s="3">
        <f>F22*1.1+E22*2.1+D22*3.1</f>
        <v>148.5</v>
      </c>
      <c r="I22" s="4">
        <f>H22/189</f>
        <v>0.7857142857142857</v>
      </c>
    </row>
    <row r="23" spans="1:9" ht="18.75">
      <c r="A23" s="3">
        <v>20</v>
      </c>
      <c r="B23" s="5" t="s">
        <v>13</v>
      </c>
      <c r="C23" s="2" t="s">
        <v>36</v>
      </c>
      <c r="D23" s="3">
        <v>21</v>
      </c>
      <c r="E23" s="3">
        <v>30</v>
      </c>
      <c r="F23" s="3">
        <v>18</v>
      </c>
      <c r="G23" s="3"/>
      <c r="H23" s="3">
        <f>F23*1.1+E23*2.1+D23*3.1</f>
        <v>147.9</v>
      </c>
      <c r="I23" s="4">
        <f>H23/189</f>
        <v>0.78253968253968254</v>
      </c>
    </row>
    <row r="24" spans="1:9" ht="18.75">
      <c r="A24" s="3">
        <v>21</v>
      </c>
      <c r="B24" s="5" t="s">
        <v>14</v>
      </c>
      <c r="C24" s="2" t="s">
        <v>36</v>
      </c>
      <c r="D24" s="3">
        <v>18</v>
      </c>
      <c r="E24" s="3">
        <v>30</v>
      </c>
      <c r="F24" s="3">
        <v>26</v>
      </c>
      <c r="G24" s="3"/>
      <c r="H24" s="3">
        <f>F24*1.1+E24*2.1+D24*3.1</f>
        <v>147.4</v>
      </c>
      <c r="I24" s="4">
        <f>H24/189</f>
        <v>0.77989417989417997</v>
      </c>
    </row>
    <row r="25" spans="1:9" ht="18.75">
      <c r="A25" s="3">
        <v>22</v>
      </c>
      <c r="B25" s="5" t="s">
        <v>15</v>
      </c>
      <c r="C25" s="2" t="s">
        <v>36</v>
      </c>
      <c r="D25" s="3">
        <v>19</v>
      </c>
      <c r="E25" s="3">
        <v>30</v>
      </c>
      <c r="F25" s="3">
        <v>23</v>
      </c>
      <c r="G25" s="3"/>
      <c r="H25" s="3">
        <f>F25*1.1+E25*2.1+D25*3.1</f>
        <v>147.19999999999999</v>
      </c>
      <c r="I25" s="4">
        <f>H25/189</f>
        <v>0.77883597883597877</v>
      </c>
    </row>
    <row r="26" spans="1:9" ht="18.75">
      <c r="A26" s="3">
        <v>23</v>
      </c>
      <c r="B26" s="5" t="s">
        <v>16</v>
      </c>
      <c r="C26" s="2" t="s">
        <v>36</v>
      </c>
      <c r="D26" s="3">
        <v>18</v>
      </c>
      <c r="E26" s="3">
        <v>30</v>
      </c>
      <c r="F26" s="3">
        <v>25</v>
      </c>
      <c r="G26" s="3"/>
      <c r="H26" s="3">
        <f>F26*1.1+E26*2.1+D26*3.1</f>
        <v>146.30000000000001</v>
      </c>
      <c r="I26" s="4">
        <f>H26/189</f>
        <v>0.77407407407407414</v>
      </c>
    </row>
    <row r="27" spans="1:9" ht="18.75">
      <c r="A27" s="3">
        <v>24</v>
      </c>
      <c r="B27" s="5" t="s">
        <v>17</v>
      </c>
      <c r="C27" s="2" t="s">
        <v>36</v>
      </c>
      <c r="D27" s="3">
        <v>18</v>
      </c>
      <c r="E27" s="3">
        <v>30</v>
      </c>
      <c r="F27" s="3">
        <v>24</v>
      </c>
      <c r="G27" s="3"/>
      <c r="H27" s="3">
        <f>F27*1.1+E27*2.1+D27*3.1</f>
        <v>145.20000000000002</v>
      </c>
      <c r="I27" s="4">
        <f>H27/189</f>
        <v>0.7682539682539683</v>
      </c>
    </row>
    <row r="28" spans="1:9" ht="18.75">
      <c r="A28" s="3">
        <v>25</v>
      </c>
      <c r="B28" s="5" t="s">
        <v>18</v>
      </c>
      <c r="C28" s="2" t="s">
        <v>36</v>
      </c>
      <c r="D28" s="3">
        <v>22</v>
      </c>
      <c r="E28" s="3">
        <v>30</v>
      </c>
      <c r="F28" s="3">
        <v>10</v>
      </c>
      <c r="G28" s="3"/>
      <c r="H28" s="3">
        <f>F28*1.1+E28*2.1+D28*3.1</f>
        <v>142.19999999999999</v>
      </c>
      <c r="I28" s="4">
        <f>H28/189</f>
        <v>0.75238095238095237</v>
      </c>
    </row>
    <row r="29" spans="1:9" ht="18.75">
      <c r="A29" s="3">
        <v>26</v>
      </c>
      <c r="B29" s="6" t="s">
        <v>49</v>
      </c>
      <c r="C29" s="6" t="s">
        <v>38</v>
      </c>
      <c r="D29" s="7">
        <v>18</v>
      </c>
      <c r="E29" s="6">
        <v>25.46</v>
      </c>
      <c r="F29" s="6">
        <v>11</v>
      </c>
      <c r="G29" s="7">
        <v>15</v>
      </c>
      <c r="H29" s="6">
        <f>D29*3.1+E29*2.1+F29*1.1+G29*1.1</f>
        <v>137.86600000000001</v>
      </c>
      <c r="I29" s="8">
        <f>H29/189</f>
        <v>0.72944973544973557</v>
      </c>
    </row>
    <row r="30" spans="1:9" ht="18.75">
      <c r="A30" s="3">
        <v>27</v>
      </c>
      <c r="B30" s="6" t="s">
        <v>50</v>
      </c>
      <c r="C30" s="6" t="s">
        <v>43</v>
      </c>
      <c r="D30" s="7">
        <v>24</v>
      </c>
      <c r="E30" s="6">
        <v>30</v>
      </c>
      <c r="F30" s="6"/>
      <c r="G30" s="7"/>
      <c r="H30" s="6">
        <f>D30*3.1+E30*2.1+F30*1.1+G30*1.1</f>
        <v>137.4</v>
      </c>
      <c r="I30" s="8">
        <f>H30/189</f>
        <v>0.72698412698412707</v>
      </c>
    </row>
    <row r="31" spans="1:9" ht="18.75">
      <c r="A31" s="3">
        <v>28</v>
      </c>
      <c r="B31" s="5" t="s">
        <v>19</v>
      </c>
      <c r="C31" s="2" t="s">
        <v>36</v>
      </c>
      <c r="D31" s="3">
        <v>18</v>
      </c>
      <c r="E31" s="3">
        <v>23</v>
      </c>
      <c r="F31" s="3">
        <v>30</v>
      </c>
      <c r="G31" s="3"/>
      <c r="H31" s="3">
        <f>F31*1.1+E31*2.1+D31*3.1</f>
        <v>137.10000000000002</v>
      </c>
      <c r="I31" s="4">
        <f>H31/189</f>
        <v>0.72539682539682548</v>
      </c>
    </row>
    <row r="32" spans="1:9" ht="18.75">
      <c r="A32" s="3">
        <v>29</v>
      </c>
      <c r="B32" s="6" t="s">
        <v>51</v>
      </c>
      <c r="C32" s="6" t="s">
        <v>38</v>
      </c>
      <c r="D32" s="7">
        <v>17</v>
      </c>
      <c r="E32" s="6">
        <v>26.8</v>
      </c>
      <c r="F32" s="6">
        <v>8</v>
      </c>
      <c r="G32" s="7">
        <v>15</v>
      </c>
      <c r="H32" s="6">
        <f>D32*3.1+E32*2.1+F32*1.1+G32*1.1</f>
        <v>134.28</v>
      </c>
      <c r="I32" s="8">
        <f>H32/189</f>
        <v>0.71047619047619048</v>
      </c>
    </row>
    <row r="33" spans="1:9" ht="18.75">
      <c r="A33" s="3">
        <v>30</v>
      </c>
      <c r="B33" s="6" t="s">
        <v>52</v>
      </c>
      <c r="C33" s="6" t="s">
        <v>38</v>
      </c>
      <c r="D33" s="7">
        <v>16</v>
      </c>
      <c r="E33" s="6">
        <v>26</v>
      </c>
      <c r="F33" s="6">
        <v>10</v>
      </c>
      <c r="G33" s="7">
        <v>15</v>
      </c>
      <c r="H33" s="6">
        <f>D33*3.1+E33*2.1+F33*1.1+G33*1.1</f>
        <v>131.69999999999999</v>
      </c>
      <c r="I33" s="8">
        <f>H33/189</f>
        <v>0.69682539682539679</v>
      </c>
    </row>
    <row r="34" spans="1:9" ht="18.75">
      <c r="A34" s="3">
        <v>31</v>
      </c>
      <c r="B34" s="5" t="s">
        <v>20</v>
      </c>
      <c r="C34" s="2" t="s">
        <v>36</v>
      </c>
      <c r="D34" s="3">
        <v>12</v>
      </c>
      <c r="E34" s="3">
        <v>30</v>
      </c>
      <c r="F34" s="3">
        <v>27</v>
      </c>
      <c r="G34" s="3"/>
      <c r="H34" s="3">
        <f>F34*1.1+E34*2.1+D34*3.1</f>
        <v>129.9</v>
      </c>
      <c r="I34" s="4">
        <f>H34/189</f>
        <v>0.6873015873015873</v>
      </c>
    </row>
    <row r="35" spans="1:9" ht="18.75">
      <c r="A35" s="3">
        <v>32</v>
      </c>
      <c r="B35" s="5" t="s">
        <v>21</v>
      </c>
      <c r="C35" s="2" t="s">
        <v>36</v>
      </c>
      <c r="D35" s="3">
        <v>16</v>
      </c>
      <c r="E35" s="3">
        <v>21</v>
      </c>
      <c r="F35" s="3">
        <v>30</v>
      </c>
      <c r="G35" s="3"/>
      <c r="H35" s="3">
        <f>F35*1.1+E35*2.1+D35*3.1</f>
        <v>126.69999999999999</v>
      </c>
      <c r="I35" s="4">
        <f>H35/189</f>
        <v>0.67037037037037028</v>
      </c>
    </row>
    <row r="36" spans="1:9" ht="18.75">
      <c r="A36" s="3">
        <v>33</v>
      </c>
      <c r="B36" s="5" t="s">
        <v>22</v>
      </c>
      <c r="C36" s="2" t="s">
        <v>36</v>
      </c>
      <c r="D36" s="3">
        <v>16</v>
      </c>
      <c r="E36" s="3">
        <v>21</v>
      </c>
      <c r="F36" s="3">
        <v>29</v>
      </c>
      <c r="G36" s="3"/>
      <c r="H36" s="3">
        <f>F36*1.1+E36*2.1+D36*3.1</f>
        <v>125.6</v>
      </c>
      <c r="I36" s="4">
        <f>H36/189</f>
        <v>0.66455026455026456</v>
      </c>
    </row>
    <row r="37" spans="1:9" ht="18.75">
      <c r="A37" s="3">
        <v>34</v>
      </c>
      <c r="B37" s="5" t="s">
        <v>23</v>
      </c>
      <c r="C37" s="2" t="s">
        <v>36</v>
      </c>
      <c r="D37" s="3">
        <v>13</v>
      </c>
      <c r="E37" s="3">
        <v>23</v>
      </c>
      <c r="F37" s="3">
        <v>30</v>
      </c>
      <c r="G37" s="3"/>
      <c r="H37" s="3">
        <f>F37*1.1+E37*2.1+D37*3.1</f>
        <v>121.60000000000002</v>
      </c>
      <c r="I37" s="4">
        <f>H37/189</f>
        <v>0.64338624338624351</v>
      </c>
    </row>
    <row r="38" spans="1:9" ht="18.75">
      <c r="A38" s="3">
        <v>35</v>
      </c>
      <c r="B38" s="5" t="s">
        <v>24</v>
      </c>
      <c r="C38" s="2" t="s">
        <v>36</v>
      </c>
      <c r="D38" s="3">
        <v>14</v>
      </c>
      <c r="E38" s="3">
        <v>30</v>
      </c>
      <c r="F38" s="3">
        <v>13</v>
      </c>
      <c r="G38" s="3"/>
      <c r="H38" s="3">
        <f>F38*1.1+E38*2.1+D38*3.1</f>
        <v>120.69999999999999</v>
      </c>
      <c r="I38" s="4">
        <f>H38/189</f>
        <v>0.63862433862433854</v>
      </c>
    </row>
    <row r="39" spans="1:9" ht="18.75">
      <c r="A39" s="3">
        <v>36</v>
      </c>
      <c r="B39" s="5" t="s">
        <v>25</v>
      </c>
      <c r="C39" s="2" t="s">
        <v>36</v>
      </c>
      <c r="D39" s="3">
        <v>16</v>
      </c>
      <c r="E39" s="3">
        <v>30</v>
      </c>
      <c r="F39" s="3">
        <v>7</v>
      </c>
      <c r="G39" s="3"/>
      <c r="H39" s="3">
        <f>F39*1.1+E39*2.1+D39*3.1</f>
        <v>120.30000000000001</v>
      </c>
      <c r="I39" s="4">
        <f>H39/189</f>
        <v>0.63650793650793658</v>
      </c>
    </row>
    <row r="40" spans="1:9" ht="18.75">
      <c r="A40" s="3">
        <v>37</v>
      </c>
      <c r="B40" s="5" t="s">
        <v>26</v>
      </c>
      <c r="C40" s="2" t="s">
        <v>36</v>
      </c>
      <c r="D40" s="3">
        <v>17</v>
      </c>
      <c r="E40" s="3">
        <v>15</v>
      </c>
      <c r="F40" s="3">
        <v>13</v>
      </c>
      <c r="G40" s="3"/>
      <c r="H40" s="3">
        <f>F40*1.1+E40*2.1+D40*3.1</f>
        <v>98.5</v>
      </c>
      <c r="I40" s="4">
        <f>H40/189</f>
        <v>0.52116402116402116</v>
      </c>
    </row>
    <row r="41" spans="1:9" ht="18.75">
      <c r="A41" s="3">
        <v>38</v>
      </c>
      <c r="B41" s="5" t="s">
        <v>27</v>
      </c>
      <c r="C41" s="2" t="s">
        <v>36</v>
      </c>
      <c r="D41" s="3">
        <v>15</v>
      </c>
      <c r="E41" s="3">
        <v>18</v>
      </c>
      <c r="F41" s="3">
        <v>8</v>
      </c>
      <c r="G41" s="3"/>
      <c r="H41" s="3">
        <f>F41*1.1+E41*2.1+D41*3.1</f>
        <v>93.100000000000009</v>
      </c>
      <c r="I41" s="4">
        <f>H41/189</f>
        <v>0.49259259259259264</v>
      </c>
    </row>
    <row r="42" spans="1:9" ht="18.75">
      <c r="A42" s="3">
        <v>39</v>
      </c>
      <c r="B42" s="5" t="s">
        <v>28</v>
      </c>
      <c r="C42" s="2" t="s">
        <v>36</v>
      </c>
      <c r="D42" s="3"/>
      <c r="E42" s="3"/>
      <c r="F42" s="3"/>
      <c r="G42" s="3"/>
      <c r="H42" s="3">
        <f>F42*1.1+E42*2.1+D42*3.1</f>
        <v>0</v>
      </c>
      <c r="I42" s="4">
        <f>H42/189</f>
        <v>0</v>
      </c>
    </row>
    <row r="43" spans="1:9" ht="18.75">
      <c r="A43" s="3">
        <v>40</v>
      </c>
      <c r="B43" s="5" t="s">
        <v>29</v>
      </c>
      <c r="C43" s="2" t="s">
        <v>36</v>
      </c>
      <c r="D43" s="3"/>
      <c r="E43" s="3"/>
      <c r="F43" s="3"/>
      <c r="G43" s="3"/>
      <c r="H43" s="3">
        <f>F43*1.1+E43*2.1+D43*3.1</f>
        <v>0</v>
      </c>
      <c r="I43" s="4">
        <f>H43/189</f>
        <v>0</v>
      </c>
    </row>
    <row r="44" spans="1:9" ht="18.75">
      <c r="A44" s="3">
        <v>41</v>
      </c>
      <c r="B44" s="5" t="s">
        <v>30</v>
      </c>
      <c r="C44" s="2" t="s">
        <v>36</v>
      </c>
      <c r="D44" s="3"/>
      <c r="E44" s="3"/>
      <c r="F44" s="3"/>
      <c r="G44" s="3"/>
      <c r="H44" s="3">
        <f>F44*1.1+E44*2.1+D44*3.1</f>
        <v>0</v>
      </c>
      <c r="I44" s="4">
        <f>H44/189</f>
        <v>0</v>
      </c>
    </row>
    <row r="45" spans="1:9" ht="18.75">
      <c r="A45" s="3">
        <v>42</v>
      </c>
      <c r="B45" s="5" t="s">
        <v>31</v>
      </c>
      <c r="C45" s="2" t="s">
        <v>36</v>
      </c>
      <c r="D45" s="3"/>
      <c r="E45" s="3"/>
      <c r="F45" s="3"/>
      <c r="G45" s="3"/>
      <c r="H45" s="3">
        <f>F45*1.1+E45*2.1+D45*3.1</f>
        <v>0</v>
      </c>
      <c r="I45" s="4">
        <f>H45/189</f>
        <v>0</v>
      </c>
    </row>
    <row r="46" spans="1:9" ht="18.75">
      <c r="A46" s="3">
        <v>43</v>
      </c>
      <c r="B46" s="6" t="s">
        <v>53</v>
      </c>
      <c r="C46" s="6" t="s">
        <v>38</v>
      </c>
      <c r="D46" s="7"/>
      <c r="E46" s="6"/>
      <c r="F46" s="6"/>
      <c r="G46" s="7"/>
      <c r="H46" s="6">
        <f>D46*3.1+E46*2.1+F46*1.1+G46*1.1</f>
        <v>0</v>
      </c>
      <c r="I46" s="8">
        <f>H46/189</f>
        <v>0</v>
      </c>
    </row>
  </sheetData>
  <sortState xmlns:xlrd2="http://schemas.microsoft.com/office/spreadsheetml/2017/richdata2" ref="B4:I46">
    <sortCondition descending="1" ref="I4:I46"/>
  </sortState>
  <mergeCells count="1">
    <mergeCell ref="A2:I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 Yuridik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nabijontukhtaev</dc:creator>
  <cp:lastModifiedBy>Пользователь</cp:lastModifiedBy>
  <dcterms:created xsi:type="dcterms:W3CDTF">2025-11-01T17:27:00Z</dcterms:created>
  <dcterms:modified xsi:type="dcterms:W3CDTF">2026-03-10T04:51:08Z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FB03B7BC1E50E3EE3B9D046936B12D1C_41</vt:lpwstr>
  </property>
  <property fmtid="{D5CDD505-2E9C-101B-9397-08002B2CF9AE}" pid="3" name="KSOProductBuildVer">
    <vt:lpwstr>1033-12.1.23155.23155</vt:lpwstr>
  </property>
</Properties>
</file>