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5345" windowHeight="4575"/>
  </bookViews>
  <sheets>
    <sheet name="7-A Tibbiyot" sheetId="1" r:id="rId1"/>
    <sheet name="7-B Tibbiyot" sheetId="2" r:id="rId2"/>
    <sheet name="Лист4" sheetId="7" r:id="rId3"/>
  </sheets>
  <calcPr calcId="145621"/>
</workbook>
</file>

<file path=xl/calcChain.xml><?xml version="1.0" encoding="utf-8"?>
<calcChain xmlns="http://schemas.openxmlformats.org/spreadsheetml/2006/main">
  <c r="H15" i="2" l="1"/>
  <c r="H18" i="2" l="1"/>
  <c r="I18" i="2" s="1"/>
  <c r="H22" i="2"/>
  <c r="I22" i="2" s="1"/>
  <c r="H17" i="2"/>
  <c r="I17" i="2" s="1"/>
  <c r="H25" i="2"/>
  <c r="H23" i="2"/>
  <c r="I23" i="2" s="1"/>
  <c r="H24" i="2"/>
  <c r="I24" i="2" s="1"/>
  <c r="H10" i="2"/>
  <c r="I10" i="2" s="1"/>
  <c r="H20" i="2"/>
  <c r="I20" i="2" s="1"/>
  <c r="H21" i="2"/>
  <c r="I21" i="2" s="1"/>
  <c r="H19" i="2"/>
  <c r="I19" i="2" s="1"/>
  <c r="I15" i="2"/>
  <c r="H13" i="2"/>
  <c r="I13" i="2" s="1"/>
  <c r="H9" i="2"/>
  <c r="I9" i="2" s="1"/>
  <c r="H6" i="2"/>
  <c r="I6" i="2" s="1"/>
  <c r="H26" i="2"/>
  <c r="I26" i="2" s="1"/>
  <c r="H12" i="2"/>
  <c r="I12" i="2" s="1"/>
  <c r="H16" i="2"/>
  <c r="I16" i="2" s="1"/>
  <c r="H14" i="2"/>
  <c r="I14" i="2" s="1"/>
  <c r="H11" i="2"/>
  <c r="I11" i="2" s="1"/>
  <c r="H8" i="2"/>
  <c r="I8" i="2" s="1"/>
  <c r="H7" i="2"/>
  <c r="I7" i="2" s="1"/>
  <c r="H5" i="2"/>
  <c r="I5" i="2" s="1"/>
  <c r="H4" i="2"/>
  <c r="I4" i="2" s="1"/>
  <c r="H14" i="1"/>
  <c r="I14" i="1" s="1"/>
  <c r="H24" i="1"/>
  <c r="I24" i="1" s="1"/>
  <c r="H26" i="1"/>
  <c r="I26" i="1" s="1"/>
  <c r="H23" i="1"/>
  <c r="I23" i="1" s="1"/>
  <c r="H28" i="1"/>
  <c r="I28" i="1" s="1"/>
  <c r="H20" i="1"/>
  <c r="I20" i="1" s="1"/>
  <c r="H22" i="1"/>
  <c r="I22" i="1" s="1"/>
  <c r="H27" i="1"/>
  <c r="I27" i="1" s="1"/>
  <c r="H21" i="1"/>
  <c r="I21" i="1" s="1"/>
  <c r="H17" i="1"/>
  <c r="I17" i="1" s="1"/>
  <c r="H15" i="1"/>
  <c r="I15" i="1" s="1"/>
  <c r="H16" i="1"/>
  <c r="I16" i="1" s="1"/>
  <c r="H12" i="1"/>
  <c r="I12" i="1" s="1"/>
  <c r="H9" i="1"/>
  <c r="I9" i="1" s="1"/>
  <c r="H13" i="1"/>
  <c r="I13" i="1" s="1"/>
  <c r="H18" i="1"/>
  <c r="I18" i="1" s="1"/>
  <c r="H19" i="1"/>
  <c r="I19" i="1" s="1"/>
  <c r="H25" i="1"/>
  <c r="I25" i="1" s="1"/>
  <c r="H8" i="1"/>
  <c r="I8" i="1" s="1"/>
  <c r="H10" i="1"/>
  <c r="I10" i="1" s="1"/>
  <c r="H6" i="1"/>
  <c r="I6" i="1" s="1"/>
  <c r="H11" i="1"/>
  <c r="I11" i="1" s="1"/>
  <c r="H5" i="1"/>
  <c r="I5" i="1" s="1"/>
  <c r="H7" i="1"/>
  <c r="I7" i="1" s="1"/>
  <c r="H29" i="1"/>
  <c r="I29" i="1" s="1"/>
  <c r="H4" i="1"/>
  <c r="I4" i="1" s="1"/>
</calcChain>
</file>

<file path=xl/sharedStrings.xml><?xml version="1.0" encoding="utf-8"?>
<sst xmlns="http://schemas.openxmlformats.org/spreadsheetml/2006/main" count="67" uniqueCount="59">
  <si>
    <t>7-TIBBIYOT A</t>
  </si>
  <si>
    <t>T/r</t>
  </si>
  <si>
    <t>O'quvchining F.I.SH</t>
  </si>
  <si>
    <t>Biologiya</t>
  </si>
  <si>
    <t>Kimyo</t>
  </si>
  <si>
    <t>Ona tili</t>
  </si>
  <si>
    <t>Matematika</t>
  </si>
  <si>
    <t>Umumiy</t>
  </si>
  <si>
    <t>%</t>
  </si>
  <si>
    <t>Aslonova Nilufar</t>
  </si>
  <si>
    <t>Rajabova Asal</t>
  </si>
  <si>
    <t xml:space="preserve">Neʼmatova Aziza </t>
  </si>
  <si>
    <t>Musayev Asadbek</t>
  </si>
  <si>
    <t>Baxtiyorov Javlon</t>
  </si>
  <si>
    <t>Nazarova Dilnoza</t>
  </si>
  <si>
    <t>Qudratilloyev Muhammadqodir</t>
  </si>
  <si>
    <t>Mirzayev Mirziyo</t>
  </si>
  <si>
    <t>Anvarov Ozodbek</t>
  </si>
  <si>
    <t>Baxshullayeva Malika</t>
  </si>
  <si>
    <t xml:space="preserve">Bobirov Nurmuhammad </t>
  </si>
  <si>
    <t>Rajabov Muhammad</t>
  </si>
  <si>
    <t>Narziyev Azalshoh</t>
  </si>
  <si>
    <t>Rajabova Gulandom</t>
  </si>
  <si>
    <t>Aliyarova Ruxsora</t>
  </si>
  <si>
    <t xml:space="preserve">Naimov Nurshod </t>
  </si>
  <si>
    <t>Mansurova Sabrina</t>
  </si>
  <si>
    <t>Hamzayeva Muyassarbegim</t>
  </si>
  <si>
    <t>Hayotov Odilbek</t>
  </si>
  <si>
    <t>Aliyarova Xumora</t>
  </si>
  <si>
    <t>Sunnatilloyev Botir</t>
  </si>
  <si>
    <t xml:space="preserve">Dilmurodova Dilnura </t>
  </si>
  <si>
    <t>Rasulov Alisher</t>
  </si>
  <si>
    <t xml:space="preserve">Sheraliyeva Zebo </t>
  </si>
  <si>
    <t>7-TIBBIYOT B</t>
  </si>
  <si>
    <t>Bahodirova Billura</t>
  </si>
  <si>
    <t>Baxtiyorov Jasur</t>
  </si>
  <si>
    <t>Olimov Islombek</t>
  </si>
  <si>
    <t>Rasulov Umar</t>
  </si>
  <si>
    <t>Baxtiyorov Bekzod</t>
  </si>
  <si>
    <t>Hasanov Abubakr</t>
  </si>
  <si>
    <t>Sobirov Behruz</t>
  </si>
  <si>
    <t>Haydarov Jasur</t>
  </si>
  <si>
    <t>Toʻraqulov Bekjon</t>
  </si>
  <si>
    <t>Yoqubov Behruz</t>
  </si>
  <si>
    <t xml:space="preserve"> Bahodirova Bonura</t>
  </si>
  <si>
    <t xml:space="preserve">Hasanova Madina </t>
  </si>
  <si>
    <t>Salomov Shaxboz</t>
  </si>
  <si>
    <t>Bafoqulov Dadajon</t>
  </si>
  <si>
    <t>Toʻraqulov Azizbek</t>
  </si>
  <si>
    <t>Komilova Madinaposhsho</t>
  </si>
  <si>
    <t>Rizoyeva Yasmina</t>
  </si>
  <si>
    <t>Ahmedov Sarvar</t>
  </si>
  <si>
    <t>Anvarova E'zoza</t>
  </si>
  <si>
    <t>Hojiyev Akbar</t>
  </si>
  <si>
    <t>Fayzullayev Jahongir</t>
  </si>
  <si>
    <t xml:space="preserve">Nuriddinov Temurbek </t>
  </si>
  <si>
    <t xml:space="preserve">   Nasullayeva Roziyabegim</t>
  </si>
  <si>
    <t>Shuhratov Shohrux Mirzo</t>
  </si>
  <si>
    <t>Shuhratov Komronbek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</si>
</sst>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 Regular"/>
      <charset val="134"/>
    </font>
    <font>
      <b/>
      <sz val="12"/>
      <color rgb="FF000000"/>
      <name val="Times New Roman Bold"/>
      <charset val="204"/>
    </font>
    <font>
      <b/>
      <sz val="12"/>
      <name val="Times New Roman Bold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"/>
      <color theme="1"/>
      <name val="Times New Roman Bold"/>
      <charset val="204"/>
    </font>
    <font>
      <b/>
      <sz val="12"/>
      <name val="Times New Roman Regula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4" xfId="1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9"/>
  <sheetViews>
    <sheetView tabSelected="1" workbookViewId="0">
      <selection activeCell="D20" sqref="D20"/>
    </sheetView>
  </sheetViews>
  <sheetFormatPr defaultColWidth="9" defaultRowHeight="15"/>
  <cols>
    <col min="1" max="2" width="9" style="1"/>
    <col min="3" max="3" width="30" style="1" customWidth="1"/>
    <col min="4" max="4" width="10.28515625" style="1" customWidth="1"/>
    <col min="5" max="5" width="9" style="1"/>
    <col min="6" max="6" width="11" style="1" customWidth="1"/>
    <col min="7" max="7" width="15" style="1" customWidth="1"/>
    <col min="8" max="8" width="11" style="1" customWidth="1"/>
    <col min="9" max="9" width="12" style="1" customWidth="1"/>
    <col min="10" max="16384" width="9" style="1"/>
  </cols>
  <sheetData>
    <row r="2" spans="2:9" ht="16.5">
      <c r="B2" s="11" t="s">
        <v>0</v>
      </c>
      <c r="C2" s="12"/>
      <c r="D2" s="12"/>
      <c r="E2" s="12"/>
      <c r="F2" s="12"/>
      <c r="G2" s="12"/>
      <c r="H2" s="12"/>
      <c r="I2" s="13"/>
    </row>
    <row r="3" spans="2:9" ht="16.5">
      <c r="B3" s="2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5" t="s">
        <v>6</v>
      </c>
      <c r="H3" s="9" t="s">
        <v>7</v>
      </c>
      <c r="I3" s="9" t="s">
        <v>8</v>
      </c>
    </row>
    <row r="4" spans="2:9" ht="16.5">
      <c r="B4" s="15">
        <v>1</v>
      </c>
      <c r="C4" s="15" t="s">
        <v>9</v>
      </c>
      <c r="D4" s="15">
        <v>27</v>
      </c>
      <c r="E4" s="15">
        <v>30</v>
      </c>
      <c r="F4" s="15">
        <v>13</v>
      </c>
      <c r="G4" s="15">
        <v>15</v>
      </c>
      <c r="H4" s="16">
        <f>G4*1.1+F4*1.1+E4*2.1+D4*3.1</f>
        <v>177.5</v>
      </c>
      <c r="I4" s="17">
        <f>H4/189</f>
        <v>0.93915343915343918</v>
      </c>
    </row>
    <row r="5" spans="2:9" ht="16.5">
      <c r="B5" s="15">
        <v>2</v>
      </c>
      <c r="C5" s="15" t="s">
        <v>57</v>
      </c>
      <c r="D5" s="15">
        <v>25</v>
      </c>
      <c r="E5" s="15">
        <v>30</v>
      </c>
      <c r="F5" s="15">
        <v>12</v>
      </c>
      <c r="G5" s="15">
        <v>15</v>
      </c>
      <c r="H5" s="16">
        <f>G5*1.1+F5*1.1+E5*2.1+D5*3.1</f>
        <v>170.2</v>
      </c>
      <c r="I5" s="17">
        <f>H5/189</f>
        <v>0.90052910052910051</v>
      </c>
    </row>
    <row r="6" spans="2:9" ht="16.5">
      <c r="B6" s="15">
        <v>3</v>
      </c>
      <c r="C6" s="15" t="s">
        <v>13</v>
      </c>
      <c r="D6" s="15">
        <v>27</v>
      </c>
      <c r="E6" s="15">
        <v>28</v>
      </c>
      <c r="F6" s="15">
        <v>10</v>
      </c>
      <c r="G6" s="15">
        <v>14</v>
      </c>
      <c r="H6" s="16">
        <f>G6*1.1+F6*1.1+E6*2.1+D6*3.1</f>
        <v>168.9</v>
      </c>
      <c r="I6" s="17">
        <f>H6/189</f>
        <v>0.8936507936507937</v>
      </c>
    </row>
    <row r="7" spans="2:9" ht="16.5">
      <c r="B7" s="15">
        <v>4</v>
      </c>
      <c r="C7" s="15" t="s">
        <v>11</v>
      </c>
      <c r="D7" s="15">
        <v>24</v>
      </c>
      <c r="E7" s="15">
        <v>27</v>
      </c>
      <c r="F7" s="15">
        <v>13</v>
      </c>
      <c r="G7" s="15">
        <v>14</v>
      </c>
      <c r="H7" s="16">
        <f>G7*1.1+F7*1.1+E7*2.1+D7*3.1</f>
        <v>160.80000000000001</v>
      </c>
      <c r="I7" s="17">
        <f>H7/189</f>
        <v>0.85079365079365088</v>
      </c>
    </row>
    <row r="8" spans="2:9" ht="16.5">
      <c r="B8" s="15">
        <v>5</v>
      </c>
      <c r="C8" s="15" t="s">
        <v>15</v>
      </c>
      <c r="D8" s="15">
        <v>21</v>
      </c>
      <c r="E8" s="15">
        <v>28</v>
      </c>
      <c r="F8" s="15">
        <v>10</v>
      </c>
      <c r="G8" s="15">
        <v>15</v>
      </c>
      <c r="H8" s="16">
        <f>G8*1.1+F8*1.1+E8*2.1+D8*3.1</f>
        <v>151.40000000000003</v>
      </c>
      <c r="I8" s="17">
        <f>H8/189</f>
        <v>0.80105820105820125</v>
      </c>
    </row>
    <row r="9" spans="2:9" ht="16.5">
      <c r="B9" s="15">
        <v>6</v>
      </c>
      <c r="C9" s="15" t="s">
        <v>19</v>
      </c>
      <c r="D9" s="15">
        <v>21</v>
      </c>
      <c r="E9" s="15">
        <v>27</v>
      </c>
      <c r="F9" s="15">
        <v>10</v>
      </c>
      <c r="G9" s="15">
        <v>13</v>
      </c>
      <c r="H9" s="16">
        <f>G9*1.1+F9*1.1+E9*2.1+D9*3.1</f>
        <v>147.10000000000002</v>
      </c>
      <c r="I9" s="17">
        <f>H9/189</f>
        <v>0.77830687830687839</v>
      </c>
    </row>
    <row r="10" spans="2:9" ht="16.5">
      <c r="B10" s="15">
        <v>7</v>
      </c>
      <c r="C10" s="15" t="s">
        <v>14</v>
      </c>
      <c r="D10" s="15">
        <v>22</v>
      </c>
      <c r="E10" s="15">
        <v>27</v>
      </c>
      <c r="F10" s="15">
        <v>8</v>
      </c>
      <c r="G10" s="15">
        <v>12</v>
      </c>
      <c r="H10" s="16">
        <f>G10*1.1+F10*1.1+E10*2.1+D10*3.1</f>
        <v>146.9</v>
      </c>
      <c r="I10" s="17">
        <f>H10/189</f>
        <v>0.7772486772486773</v>
      </c>
    </row>
    <row r="11" spans="2:9" ht="16.5">
      <c r="B11" s="15">
        <v>8</v>
      </c>
      <c r="C11" s="15" t="s">
        <v>12</v>
      </c>
      <c r="D11" s="15">
        <v>22</v>
      </c>
      <c r="E11" s="15">
        <v>22</v>
      </c>
      <c r="F11" s="15">
        <v>14</v>
      </c>
      <c r="G11" s="15">
        <v>14</v>
      </c>
      <c r="H11" s="16">
        <f>G11*1.1+F11*1.1+E11*2.1+D11*3.1</f>
        <v>145.19999999999999</v>
      </c>
      <c r="I11" s="17">
        <f>H11/189</f>
        <v>0.76825396825396819</v>
      </c>
    </row>
    <row r="12" spans="2:9" ht="16.5">
      <c r="B12" s="15">
        <v>9</v>
      </c>
      <c r="C12" s="15" t="s">
        <v>20</v>
      </c>
      <c r="D12" s="15">
        <v>19</v>
      </c>
      <c r="E12" s="15">
        <v>27</v>
      </c>
      <c r="F12" s="15">
        <v>11</v>
      </c>
      <c r="G12" s="15">
        <v>14</v>
      </c>
      <c r="H12" s="16">
        <f>G12*1.1+F12*1.1+E12*2.1+D12*3.1</f>
        <v>143.1</v>
      </c>
      <c r="I12" s="17">
        <f>H12/189</f>
        <v>0.75714285714285712</v>
      </c>
    </row>
    <row r="13" spans="2:9" ht="16.5">
      <c r="B13" s="15">
        <v>10</v>
      </c>
      <c r="C13" s="15" t="s">
        <v>18</v>
      </c>
      <c r="D13" s="15">
        <v>19</v>
      </c>
      <c r="E13" s="15">
        <v>25</v>
      </c>
      <c r="F13" s="15">
        <v>11</v>
      </c>
      <c r="G13" s="15">
        <v>13</v>
      </c>
      <c r="H13" s="16">
        <f>G13*1.1+F13*1.1+E13*2.1+D13*3.1</f>
        <v>137.80000000000001</v>
      </c>
      <c r="I13" s="17">
        <f>H13/189</f>
        <v>0.72910052910052914</v>
      </c>
    </row>
    <row r="14" spans="2:9" ht="16.5">
      <c r="B14" s="15">
        <v>11</v>
      </c>
      <c r="C14" s="15" t="s">
        <v>32</v>
      </c>
      <c r="D14" s="15">
        <v>21</v>
      </c>
      <c r="E14" s="15">
        <v>22</v>
      </c>
      <c r="F14" s="15">
        <v>9</v>
      </c>
      <c r="G14" s="15">
        <v>14</v>
      </c>
      <c r="H14" s="16">
        <f>G14*1.1+F14*1.1+E14*2.1+D14*3.1</f>
        <v>136.60000000000002</v>
      </c>
      <c r="I14" s="17">
        <f>H14/189</f>
        <v>0.72275132275132292</v>
      </c>
    </row>
    <row r="15" spans="2:9" ht="16.5">
      <c r="B15" s="15">
        <v>12</v>
      </c>
      <c r="C15" s="15" t="s">
        <v>22</v>
      </c>
      <c r="D15" s="15">
        <v>16</v>
      </c>
      <c r="E15" s="15">
        <v>23</v>
      </c>
      <c r="F15" s="15">
        <v>8</v>
      </c>
      <c r="G15" s="15">
        <v>13</v>
      </c>
      <c r="H15" s="16">
        <f>G15*1.1+F15*1.1+E15*2.1+D15*3.1</f>
        <v>121</v>
      </c>
      <c r="I15" s="17">
        <f>H15/189</f>
        <v>0.64021164021164023</v>
      </c>
    </row>
    <row r="16" spans="2:9" ht="16.5">
      <c r="B16" s="15">
        <v>13</v>
      </c>
      <c r="C16" s="15" t="s">
        <v>21</v>
      </c>
      <c r="D16" s="15">
        <v>19</v>
      </c>
      <c r="E16" s="15">
        <v>19</v>
      </c>
      <c r="F16" s="15">
        <v>7</v>
      </c>
      <c r="G16" s="15">
        <v>13</v>
      </c>
      <c r="H16" s="16">
        <f>G16*1.1+F16*1.1+E16*2.1+D16*3.1</f>
        <v>120.8</v>
      </c>
      <c r="I16" s="17">
        <f>H16/189</f>
        <v>0.63915343915343914</v>
      </c>
    </row>
    <row r="17" spans="2:9" ht="16.5">
      <c r="B17" s="15">
        <v>14</v>
      </c>
      <c r="C17" s="15" t="s">
        <v>23</v>
      </c>
      <c r="D17" s="15">
        <v>17</v>
      </c>
      <c r="E17" s="15">
        <v>22</v>
      </c>
      <c r="F17" s="15">
        <v>8</v>
      </c>
      <c r="G17" s="15">
        <v>11</v>
      </c>
      <c r="H17" s="16">
        <f>G17*1.1+F17*1.1+E17*2.1+D17*3.1</f>
        <v>119.80000000000001</v>
      </c>
      <c r="I17" s="17">
        <f>H17/189</f>
        <v>0.6338624338624339</v>
      </c>
    </row>
    <row r="18" spans="2:9" ht="16.5">
      <c r="B18" s="15">
        <v>15</v>
      </c>
      <c r="C18" s="15" t="s">
        <v>17</v>
      </c>
      <c r="D18" s="15">
        <v>14</v>
      </c>
      <c r="E18" s="15">
        <v>22</v>
      </c>
      <c r="F18" s="15">
        <v>12</v>
      </c>
      <c r="G18" s="15">
        <v>15</v>
      </c>
      <c r="H18" s="16">
        <f>G18*1.1+F18*1.1+E18*2.1+D18*3.1</f>
        <v>119.30000000000001</v>
      </c>
      <c r="I18" s="17">
        <f>H18/189</f>
        <v>0.63121693121693123</v>
      </c>
    </row>
    <row r="19" spans="2:9" ht="16.5">
      <c r="B19" s="15">
        <v>16</v>
      </c>
      <c r="C19" s="15" t="s">
        <v>16</v>
      </c>
      <c r="D19" s="15">
        <v>16</v>
      </c>
      <c r="E19" s="15">
        <v>23</v>
      </c>
      <c r="F19" s="15">
        <v>5</v>
      </c>
      <c r="G19" s="15">
        <v>13</v>
      </c>
      <c r="H19" s="16">
        <f>G19*1.1+F19*1.1+E19*2.1+D19*3.1</f>
        <v>117.70000000000002</v>
      </c>
      <c r="I19" s="17">
        <f>H19/189</f>
        <v>0.62275132275132283</v>
      </c>
    </row>
    <row r="20" spans="2:9" ht="16.5">
      <c r="B20" s="15">
        <v>17</v>
      </c>
      <c r="C20" s="15" t="s">
        <v>27</v>
      </c>
      <c r="D20" s="15">
        <v>14</v>
      </c>
      <c r="E20" s="15">
        <v>27</v>
      </c>
      <c r="F20" s="15">
        <v>4</v>
      </c>
      <c r="G20" s="15">
        <v>11</v>
      </c>
      <c r="H20" s="16">
        <f>G20*1.1+F20*1.1+E20*2.1+D20*3.1</f>
        <v>116.6</v>
      </c>
      <c r="I20" s="17">
        <f>H20/189</f>
        <v>0.61693121693121689</v>
      </c>
    </row>
    <row r="21" spans="2:9" ht="16.5">
      <c r="B21" s="15">
        <v>18</v>
      </c>
      <c r="C21" s="15" t="s">
        <v>24</v>
      </c>
      <c r="D21" s="15">
        <v>16</v>
      </c>
      <c r="E21" s="15">
        <v>20</v>
      </c>
      <c r="F21" s="15">
        <v>7</v>
      </c>
      <c r="G21" s="15">
        <v>11</v>
      </c>
      <c r="H21" s="16">
        <f>G21*1.1+F21*1.1+E21*2.1+D21*3.1</f>
        <v>111.4</v>
      </c>
      <c r="I21" s="17">
        <f>H21/189</f>
        <v>0.5894179894179894</v>
      </c>
    </row>
    <row r="22" spans="2:9" ht="16.5">
      <c r="B22" s="15">
        <v>19</v>
      </c>
      <c r="C22" s="15" t="s">
        <v>26</v>
      </c>
      <c r="D22" s="15">
        <v>16</v>
      </c>
      <c r="E22" s="15">
        <v>17</v>
      </c>
      <c r="F22" s="15">
        <v>9</v>
      </c>
      <c r="G22" s="15">
        <v>14</v>
      </c>
      <c r="H22" s="16">
        <f>G22*1.1+F22*1.1+E22*2.1+D22*3.1</f>
        <v>110.60000000000001</v>
      </c>
      <c r="I22" s="17">
        <f>H22/189</f>
        <v>0.58518518518518525</v>
      </c>
    </row>
    <row r="23" spans="2:9" ht="16.5">
      <c r="B23" s="15">
        <v>20</v>
      </c>
      <c r="C23" s="15" t="s">
        <v>29</v>
      </c>
      <c r="D23" s="15">
        <v>15</v>
      </c>
      <c r="E23" s="15">
        <v>17</v>
      </c>
      <c r="F23" s="15">
        <v>9</v>
      </c>
      <c r="G23" s="15">
        <v>13</v>
      </c>
      <c r="H23" s="16">
        <f>G23*1.1+F23*1.1+E23*2.1+D23*3.1</f>
        <v>106.4</v>
      </c>
      <c r="I23" s="17">
        <f>H23/189</f>
        <v>0.562962962962963</v>
      </c>
    </row>
    <row r="24" spans="2:9" ht="16.5">
      <c r="B24" s="15">
        <v>21</v>
      </c>
      <c r="C24" s="15" t="s">
        <v>31</v>
      </c>
      <c r="D24" s="15">
        <v>14</v>
      </c>
      <c r="E24" s="15">
        <v>18</v>
      </c>
      <c r="F24" s="15">
        <v>9</v>
      </c>
      <c r="G24" s="15">
        <v>11</v>
      </c>
      <c r="H24" s="16">
        <f>G24*1.1+F24*1.1+E24*2.1+D24*3.1</f>
        <v>103.2</v>
      </c>
      <c r="I24" s="17">
        <f>H24/189</f>
        <v>0.54603174603174609</v>
      </c>
    </row>
    <row r="25" spans="2:9" ht="16.5">
      <c r="B25" s="15">
        <v>22</v>
      </c>
      <c r="C25" s="15" t="s">
        <v>58</v>
      </c>
      <c r="D25" s="15">
        <v>15</v>
      </c>
      <c r="E25" s="15">
        <v>17</v>
      </c>
      <c r="F25" s="15">
        <v>6</v>
      </c>
      <c r="G25" s="15">
        <v>12</v>
      </c>
      <c r="H25" s="16">
        <f>G25*1.1+F25*1.1+E25*2.1+D25*3.1</f>
        <v>102</v>
      </c>
      <c r="I25" s="17">
        <f>H25/189</f>
        <v>0.53968253968253965</v>
      </c>
    </row>
    <row r="26" spans="2:9" ht="16.5">
      <c r="B26" s="15">
        <v>23</v>
      </c>
      <c r="C26" s="15" t="s">
        <v>30</v>
      </c>
      <c r="D26" s="15">
        <v>16</v>
      </c>
      <c r="E26" s="15">
        <v>15</v>
      </c>
      <c r="F26" s="15">
        <v>8</v>
      </c>
      <c r="G26" s="15">
        <v>10</v>
      </c>
      <c r="H26" s="16">
        <f>G26*1.1+F26*1.1+E26*2.1+D26*3.1</f>
        <v>100.9</v>
      </c>
      <c r="I26" s="17">
        <f>H26/189</f>
        <v>0.53386243386243393</v>
      </c>
    </row>
    <row r="27" spans="2:9" ht="16.5">
      <c r="B27" s="15">
        <v>24</v>
      </c>
      <c r="C27" s="15" t="s">
        <v>25</v>
      </c>
      <c r="D27" s="15">
        <v>14</v>
      </c>
      <c r="E27" s="15">
        <v>17</v>
      </c>
      <c r="F27" s="15">
        <v>8</v>
      </c>
      <c r="G27" s="15">
        <v>7</v>
      </c>
      <c r="H27" s="16">
        <f>G27*1.1+F27*1.1+E27*2.1+D27*3.1</f>
        <v>95.6</v>
      </c>
      <c r="I27" s="17">
        <f>H27/189</f>
        <v>0.50582010582010584</v>
      </c>
    </row>
    <row r="28" spans="2:9" ht="16.5">
      <c r="B28" s="15">
        <v>25</v>
      </c>
      <c r="C28" s="15" t="s">
        <v>28</v>
      </c>
      <c r="D28" s="15">
        <v>12</v>
      </c>
      <c r="E28" s="15">
        <v>15</v>
      </c>
      <c r="F28" s="15">
        <v>6</v>
      </c>
      <c r="G28" s="15">
        <v>11</v>
      </c>
      <c r="H28" s="16">
        <f>G28*1.1+F28*1.1+E28*2.1+D28*3.1</f>
        <v>87.4</v>
      </c>
      <c r="I28" s="17">
        <f>H28/189</f>
        <v>0.46243386243386247</v>
      </c>
    </row>
    <row r="29" spans="2:9" ht="16.5">
      <c r="B29" s="15">
        <v>26</v>
      </c>
      <c r="C29" s="15" t="s">
        <v>10</v>
      </c>
      <c r="D29" s="15">
        <v>0</v>
      </c>
      <c r="E29" s="15">
        <v>0</v>
      </c>
      <c r="F29" s="15">
        <v>0</v>
      </c>
      <c r="G29" s="15">
        <v>0</v>
      </c>
      <c r="H29" s="16">
        <f>G29*1.1+F29*1.1+E29*2.1+D29*3.1</f>
        <v>0</v>
      </c>
      <c r="I29" s="17">
        <f>H29/189</f>
        <v>0</v>
      </c>
    </row>
  </sheetData>
  <sortState ref="B4:I29">
    <sortCondition descending="1" ref="I4:I29"/>
  </sortState>
  <mergeCells count="1">
    <mergeCell ref="B2:I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6"/>
  <sheetViews>
    <sheetView workbookViewId="0">
      <selection activeCell="E11" sqref="E11"/>
    </sheetView>
  </sheetViews>
  <sheetFormatPr defaultColWidth="9" defaultRowHeight="15"/>
  <cols>
    <col min="1" max="2" width="9" style="1"/>
    <col min="3" max="3" width="27" style="1" customWidth="1"/>
    <col min="4" max="4" width="12.5703125" style="1" customWidth="1"/>
    <col min="5" max="5" width="9" style="1"/>
    <col min="6" max="6" width="13.5703125" style="1" customWidth="1"/>
    <col min="7" max="7" width="12.7109375" style="1" customWidth="1"/>
    <col min="8" max="8" width="10.28515625" style="1" customWidth="1"/>
    <col min="9" max="9" width="13.7109375" style="1" bestFit="1" customWidth="1"/>
    <col min="10" max="16384" width="9" style="1"/>
  </cols>
  <sheetData>
    <row r="2" spans="2:13" ht="16.5">
      <c r="B2" s="14" t="s">
        <v>33</v>
      </c>
      <c r="C2" s="14"/>
      <c r="D2" s="14"/>
      <c r="E2" s="14"/>
      <c r="F2" s="14"/>
      <c r="G2" s="14"/>
      <c r="H2" s="14"/>
      <c r="I2" s="14"/>
    </row>
    <row r="3" spans="2:13" ht="16.5">
      <c r="B3" s="6" t="s">
        <v>1</v>
      </c>
      <c r="C3" s="3" t="s">
        <v>2</v>
      </c>
      <c r="D3" s="7" t="s">
        <v>3</v>
      </c>
      <c r="E3" s="7" t="s">
        <v>4</v>
      </c>
      <c r="F3" s="7" t="s">
        <v>5</v>
      </c>
      <c r="G3" s="6" t="s">
        <v>6</v>
      </c>
      <c r="H3" s="9" t="s">
        <v>7</v>
      </c>
      <c r="I3" s="9" t="s">
        <v>8</v>
      </c>
      <c r="M3" s="8"/>
    </row>
    <row r="4" spans="2:13" ht="16.5">
      <c r="B4" s="6">
        <v>1</v>
      </c>
      <c r="C4" s="6" t="s">
        <v>34</v>
      </c>
      <c r="D4" s="6">
        <v>27</v>
      </c>
      <c r="E4" s="6">
        <v>27</v>
      </c>
      <c r="F4" s="10">
        <v>11</v>
      </c>
      <c r="G4" s="10">
        <v>15</v>
      </c>
      <c r="H4" s="16">
        <f>G4*1.1+F4*1.1+E4*2.1+D4*3.1</f>
        <v>169</v>
      </c>
      <c r="I4" s="17">
        <f>H4/189</f>
        <v>0.89417989417989419</v>
      </c>
    </row>
    <row r="5" spans="2:13" ht="16.5">
      <c r="B5" s="6">
        <v>2</v>
      </c>
      <c r="C5" s="6" t="s">
        <v>35</v>
      </c>
      <c r="D5" s="6">
        <v>23</v>
      </c>
      <c r="E5" s="6">
        <v>26</v>
      </c>
      <c r="F5" s="10">
        <v>6</v>
      </c>
      <c r="G5" s="10">
        <v>10</v>
      </c>
      <c r="H5" s="16">
        <f>G5*1.1+F5*1.1+E5*2.1+D5*3.1</f>
        <v>143.5</v>
      </c>
      <c r="I5" s="17">
        <f>H5/189</f>
        <v>0.7592592592592593</v>
      </c>
    </row>
    <row r="6" spans="2:13" ht="16.5">
      <c r="B6" s="6">
        <v>3</v>
      </c>
      <c r="C6" s="6" t="s">
        <v>43</v>
      </c>
      <c r="D6" s="6">
        <v>21</v>
      </c>
      <c r="E6" s="6">
        <v>26</v>
      </c>
      <c r="F6" s="10">
        <v>10</v>
      </c>
      <c r="G6" s="10">
        <v>9</v>
      </c>
      <c r="H6" s="16">
        <f>G6*1.1+F6*1.1+E6*2.1+D6*3.1</f>
        <v>140.60000000000002</v>
      </c>
      <c r="I6" s="17">
        <f>H6/189</f>
        <v>0.74391534391534408</v>
      </c>
    </row>
    <row r="7" spans="2:13" ht="16.5">
      <c r="B7" s="6">
        <v>4</v>
      </c>
      <c r="C7" s="6" t="s">
        <v>36</v>
      </c>
      <c r="D7" s="6">
        <v>19</v>
      </c>
      <c r="E7" s="6">
        <v>24</v>
      </c>
      <c r="F7" s="10">
        <v>12</v>
      </c>
      <c r="G7" s="10">
        <v>14</v>
      </c>
      <c r="H7" s="16">
        <f>G7*1.1+F7*1.1+E7*2.1+D7*3.1</f>
        <v>137.9</v>
      </c>
      <c r="I7" s="17">
        <f>H7/189</f>
        <v>0.72962962962962963</v>
      </c>
    </row>
    <row r="8" spans="2:13" ht="16.5">
      <c r="B8" s="6">
        <v>5</v>
      </c>
      <c r="C8" s="6" t="s">
        <v>37</v>
      </c>
      <c r="D8" s="6">
        <v>17</v>
      </c>
      <c r="E8" s="6">
        <v>25</v>
      </c>
      <c r="F8" s="10">
        <v>7</v>
      </c>
      <c r="G8" s="10">
        <v>14</v>
      </c>
      <c r="H8" s="16">
        <f>G8*1.1+F8*1.1+E8*2.1+D8*3.1</f>
        <v>128.30000000000001</v>
      </c>
      <c r="I8" s="17">
        <f>H8/189</f>
        <v>0.6788359788359789</v>
      </c>
    </row>
    <row r="9" spans="2:13" ht="16.5">
      <c r="B9" s="6">
        <v>6</v>
      </c>
      <c r="C9" s="6" t="s">
        <v>44</v>
      </c>
      <c r="D9" s="6">
        <v>18</v>
      </c>
      <c r="E9" s="6">
        <v>22</v>
      </c>
      <c r="F9" s="10">
        <v>8</v>
      </c>
      <c r="G9" s="10">
        <v>11</v>
      </c>
      <c r="H9" s="16">
        <f>G9*1.1+F9*1.1+E9*2.1+D9*3.1</f>
        <v>122.9</v>
      </c>
      <c r="I9" s="17">
        <f>H9/189</f>
        <v>0.65026455026455032</v>
      </c>
    </row>
    <row r="10" spans="2:13" ht="16.5">
      <c r="B10" s="6">
        <v>7</v>
      </c>
      <c r="C10" s="6" t="s">
        <v>50</v>
      </c>
      <c r="D10" s="6">
        <v>17</v>
      </c>
      <c r="E10" s="6">
        <v>23</v>
      </c>
      <c r="F10" s="10">
        <v>8</v>
      </c>
      <c r="G10" s="10">
        <v>10</v>
      </c>
      <c r="H10" s="16">
        <f>G10*1.1+F10*1.1+E10*2.1+D10*3.1</f>
        <v>120.80000000000001</v>
      </c>
      <c r="I10" s="17">
        <f>H10/189</f>
        <v>0.63915343915343925</v>
      </c>
    </row>
    <row r="11" spans="2:13" ht="16.5">
      <c r="B11" s="6">
        <v>8</v>
      </c>
      <c r="C11" s="6" t="s">
        <v>38</v>
      </c>
      <c r="D11" s="6">
        <v>18</v>
      </c>
      <c r="E11" s="6">
        <v>22</v>
      </c>
      <c r="F11" s="10">
        <v>7</v>
      </c>
      <c r="G11" s="10">
        <v>9</v>
      </c>
      <c r="H11" s="16">
        <f>G11*1.1+F11*1.1+E11*2.1+D11*3.1</f>
        <v>119.60000000000001</v>
      </c>
      <c r="I11" s="17">
        <f>H11/189</f>
        <v>0.63280423280423281</v>
      </c>
    </row>
    <row r="12" spans="2:13" ht="16.5">
      <c r="B12" s="6">
        <v>9</v>
      </c>
      <c r="C12" s="6" t="s">
        <v>41</v>
      </c>
      <c r="D12" s="6">
        <v>16</v>
      </c>
      <c r="E12" s="6">
        <v>22</v>
      </c>
      <c r="F12" s="10">
        <v>7</v>
      </c>
      <c r="G12" s="10">
        <v>14</v>
      </c>
      <c r="H12" s="16">
        <f>G12*1.1+F12*1.1+E12*2.1+D12*3.1</f>
        <v>118.9</v>
      </c>
      <c r="I12" s="17">
        <f>H12/189</f>
        <v>0.62910052910052916</v>
      </c>
    </row>
    <row r="13" spans="2:13" ht="16.5">
      <c r="B13" s="6">
        <v>10</v>
      </c>
      <c r="C13" s="6" t="s">
        <v>45</v>
      </c>
      <c r="D13" s="6">
        <v>17</v>
      </c>
      <c r="E13" s="6">
        <v>24</v>
      </c>
      <c r="F13" s="10">
        <v>5</v>
      </c>
      <c r="G13" s="10">
        <v>9</v>
      </c>
      <c r="H13" s="16">
        <f>G13*1.1+F13*1.1+E13*2.1+D13*3.1</f>
        <v>118.50000000000001</v>
      </c>
      <c r="I13" s="17">
        <f>H13/189</f>
        <v>0.62698412698412709</v>
      </c>
    </row>
    <row r="14" spans="2:13" ht="16.5">
      <c r="B14" s="6">
        <v>11</v>
      </c>
      <c r="C14" s="6" t="s">
        <v>39</v>
      </c>
      <c r="D14" s="6">
        <v>15</v>
      </c>
      <c r="E14" s="6">
        <v>24</v>
      </c>
      <c r="F14" s="10">
        <v>6</v>
      </c>
      <c r="G14" s="10">
        <v>13</v>
      </c>
      <c r="H14" s="16">
        <f>G14*1.1+F14*1.1+E14*2.1+D14*3.1</f>
        <v>117.80000000000001</v>
      </c>
      <c r="I14" s="17">
        <f>H14/189</f>
        <v>0.62328042328042332</v>
      </c>
    </row>
    <row r="15" spans="2:13" ht="16.5">
      <c r="B15" s="6">
        <v>12</v>
      </c>
      <c r="C15" s="6" t="s">
        <v>46</v>
      </c>
      <c r="D15" s="6">
        <v>13</v>
      </c>
      <c r="E15" s="6">
        <v>24</v>
      </c>
      <c r="F15" s="10">
        <v>8</v>
      </c>
      <c r="G15" s="10">
        <v>14</v>
      </c>
      <c r="H15" s="16">
        <f>G15*1.1+F15*1.1+E15*2.1+D15*3.1</f>
        <v>114.9</v>
      </c>
      <c r="I15" s="17">
        <f>H15/189</f>
        <v>0.607936507936508</v>
      </c>
    </row>
    <row r="16" spans="2:13" ht="16.5">
      <c r="B16" s="6">
        <v>13</v>
      </c>
      <c r="C16" s="6" t="s">
        <v>40</v>
      </c>
      <c r="D16" s="6">
        <v>13</v>
      </c>
      <c r="E16" s="6">
        <v>24</v>
      </c>
      <c r="F16" s="10">
        <v>5</v>
      </c>
      <c r="G16" s="10">
        <v>14</v>
      </c>
      <c r="H16" s="16">
        <f>G16*1.1+F16*1.1+E16*2.1+D16*3.1</f>
        <v>111.60000000000002</v>
      </c>
      <c r="I16" s="17">
        <f>H16/189</f>
        <v>0.5904761904761906</v>
      </c>
    </row>
    <row r="17" spans="2:9" ht="16.5">
      <c r="B17" s="6">
        <v>14</v>
      </c>
      <c r="C17" s="6" t="s">
        <v>54</v>
      </c>
      <c r="D17" s="6">
        <v>13</v>
      </c>
      <c r="E17" s="6">
        <v>22</v>
      </c>
      <c r="F17" s="10">
        <v>7</v>
      </c>
      <c r="G17" s="10">
        <v>12</v>
      </c>
      <c r="H17" s="16">
        <f>G17*1.1+F17*1.1+E17*2.1+D17*3.1</f>
        <v>107.4</v>
      </c>
      <c r="I17" s="17">
        <f>H17/189</f>
        <v>0.56825396825396823</v>
      </c>
    </row>
    <row r="18" spans="2:9" ht="16.5">
      <c r="B18" s="6">
        <v>15</v>
      </c>
      <c r="C18" s="6" t="s">
        <v>56</v>
      </c>
      <c r="D18" s="6">
        <v>15</v>
      </c>
      <c r="E18" s="6">
        <v>16</v>
      </c>
      <c r="F18" s="10">
        <v>9</v>
      </c>
      <c r="G18" s="10">
        <v>8</v>
      </c>
      <c r="H18" s="16">
        <f>G18*1.1+F18*1.1+E18*2.1+D18*3.1</f>
        <v>98.800000000000011</v>
      </c>
      <c r="I18" s="17">
        <f>H18/189</f>
        <v>0.52275132275132286</v>
      </c>
    </row>
    <row r="19" spans="2:9" ht="16.5">
      <c r="B19" s="6">
        <v>16</v>
      </c>
      <c r="C19" s="6" t="s">
        <v>47</v>
      </c>
      <c r="D19" s="6">
        <v>9</v>
      </c>
      <c r="E19" s="6">
        <v>20</v>
      </c>
      <c r="F19" s="10">
        <v>8</v>
      </c>
      <c r="G19" s="10">
        <v>13</v>
      </c>
      <c r="H19" s="16">
        <f>G19*1.1+F19*1.1+E19*2.1+D19*3.1</f>
        <v>93</v>
      </c>
      <c r="I19" s="17">
        <f>H19/189</f>
        <v>0.49206349206349204</v>
      </c>
    </row>
    <row r="20" spans="2:9" ht="16.5">
      <c r="B20" s="6">
        <v>17</v>
      </c>
      <c r="C20" s="6" t="s">
        <v>49</v>
      </c>
      <c r="D20" s="6">
        <v>13</v>
      </c>
      <c r="E20" s="6">
        <v>16</v>
      </c>
      <c r="F20" s="10">
        <v>8</v>
      </c>
      <c r="G20" s="10">
        <v>9</v>
      </c>
      <c r="H20" s="16">
        <f>G20*1.1+F20*1.1+E20*2.1+D20*3.1</f>
        <v>92.600000000000009</v>
      </c>
      <c r="I20" s="17">
        <f>H20/189</f>
        <v>0.48994708994709002</v>
      </c>
    </row>
    <row r="21" spans="2:9" ht="16.5">
      <c r="B21" s="6">
        <v>18</v>
      </c>
      <c r="C21" s="6" t="s">
        <v>48</v>
      </c>
      <c r="D21" s="6">
        <v>13</v>
      </c>
      <c r="E21" s="6">
        <v>15</v>
      </c>
      <c r="F21" s="10">
        <v>5</v>
      </c>
      <c r="G21" s="10">
        <v>13</v>
      </c>
      <c r="H21" s="16">
        <f>G21*1.1+F21*1.1+E21*2.1+D21*3.1</f>
        <v>91.6</v>
      </c>
      <c r="I21" s="17">
        <f>H21/189</f>
        <v>0.48465608465608462</v>
      </c>
    </row>
    <row r="22" spans="2:9" ht="16.5">
      <c r="B22" s="6">
        <v>19</v>
      </c>
      <c r="C22" s="6" t="s">
        <v>55</v>
      </c>
      <c r="D22" s="6">
        <v>12</v>
      </c>
      <c r="E22" s="6">
        <v>13</v>
      </c>
      <c r="F22" s="10">
        <v>6</v>
      </c>
      <c r="G22" s="10">
        <v>10</v>
      </c>
      <c r="H22" s="16">
        <f>G22*1.1+F22*1.1+E22*2.1+D22*3.1</f>
        <v>82.100000000000009</v>
      </c>
      <c r="I22" s="17">
        <f>H22/189</f>
        <v>0.43439153439153444</v>
      </c>
    </row>
    <row r="23" spans="2:9" ht="16.5">
      <c r="B23" s="6">
        <v>20</v>
      </c>
      <c r="C23" s="6" t="s">
        <v>52</v>
      </c>
      <c r="D23" s="6">
        <v>8</v>
      </c>
      <c r="E23" s="6">
        <v>20</v>
      </c>
      <c r="F23" s="10">
        <v>6</v>
      </c>
      <c r="G23" s="10">
        <v>4</v>
      </c>
      <c r="H23" s="16">
        <f>G23*1.1+F23*1.1+E23*2.1+D23*3.1</f>
        <v>77.8</v>
      </c>
      <c r="I23" s="17">
        <f>H23/189</f>
        <v>0.41164021164021164</v>
      </c>
    </row>
    <row r="24" spans="2:9" ht="16.5">
      <c r="B24" s="6">
        <v>21</v>
      </c>
      <c r="C24" s="6" t="s">
        <v>51</v>
      </c>
      <c r="D24" s="6">
        <v>11</v>
      </c>
      <c r="E24" s="6">
        <v>16</v>
      </c>
      <c r="F24" s="10">
        <v>4</v>
      </c>
      <c r="G24" s="10">
        <v>4</v>
      </c>
      <c r="H24" s="16">
        <f>G24*1.1+F24*1.1+E24*2.1+D24*3.1</f>
        <v>76.5</v>
      </c>
      <c r="I24" s="17">
        <f>H24/189</f>
        <v>0.40476190476190477</v>
      </c>
    </row>
    <row r="25" spans="2:9" ht="16.5">
      <c r="B25" s="6">
        <v>22</v>
      </c>
      <c r="C25" s="6" t="s">
        <v>53</v>
      </c>
      <c r="D25" s="6">
        <v>13</v>
      </c>
      <c r="E25" s="10">
        <v>23</v>
      </c>
      <c r="F25" s="10">
        <v>7</v>
      </c>
      <c r="G25" s="16">
        <v>14</v>
      </c>
      <c r="H25" s="18">
        <f>D25*3.1+E25*2.1+F25*1.1+G25*1.1</f>
        <v>111.70000000000002</v>
      </c>
      <c r="I25" s="17">
        <v>0.39400000000000002</v>
      </c>
    </row>
    <row r="26" spans="2:9" ht="16.5">
      <c r="B26" s="6">
        <v>23</v>
      </c>
      <c r="C26" s="6" t="s">
        <v>42</v>
      </c>
      <c r="D26" s="6">
        <v>0</v>
      </c>
      <c r="E26" s="6">
        <v>0</v>
      </c>
      <c r="F26" s="10">
        <v>0</v>
      </c>
      <c r="G26" s="10">
        <v>0</v>
      </c>
      <c r="H26" s="16">
        <f>G26*1.1+F26*1.1+E26*2.1+D26*3.1</f>
        <v>0</v>
      </c>
      <c r="I26" s="17">
        <f>H26/189</f>
        <v>0</v>
      </c>
    </row>
  </sheetData>
  <sortState ref="B4:I26">
    <sortCondition descending="1" ref="I4:I26"/>
  </sortState>
  <mergeCells count="1">
    <mergeCell ref="B2:I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7-A Tibbiyot</vt:lpstr>
      <vt:lpstr>7-B Tibbiyot</vt:lpstr>
      <vt:lpstr>Лист4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2026-03-03T08:30:31Z</dcterms:modified>
</cp:coreProperties>
</file>