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60" windowHeight="7740"/>
  </bookViews>
  <sheets>
    <sheet name="Natijalar" sheetId="1" r:id="rId1"/>
  </sheets>
  <calcPr calcId="162913"/>
</workbook>
</file>

<file path=xl/calcChain.xml><?xml version="1.0" encoding="utf-8"?>
<calcChain xmlns="http://schemas.openxmlformats.org/spreadsheetml/2006/main">
  <c r="H11" i="1" l="1"/>
  <c r="H38" i="1"/>
  <c r="H28" i="1"/>
  <c r="H52" i="1"/>
  <c r="H55" i="1"/>
  <c r="H32" i="1"/>
  <c r="G33" i="1"/>
  <c r="H33" i="1" s="1"/>
  <c r="G26" i="1"/>
  <c r="H26" i="1" s="1"/>
  <c r="G42" i="1"/>
  <c r="H42" i="1" s="1"/>
  <c r="G11" i="1"/>
  <c r="G51" i="1"/>
  <c r="H51" i="1" s="1"/>
  <c r="G50" i="1"/>
  <c r="H50" i="1" s="1"/>
  <c r="G54" i="1"/>
  <c r="H54" i="1" s="1"/>
  <c r="G38" i="1"/>
  <c r="G24" i="1"/>
  <c r="H24" i="1" s="1"/>
  <c r="G56" i="1"/>
  <c r="H56" i="1" s="1"/>
  <c r="G16" i="1"/>
  <c r="H16" i="1" s="1"/>
  <c r="G28" i="1"/>
  <c r="G43" i="1"/>
  <c r="H43" i="1" s="1"/>
  <c r="G23" i="1"/>
  <c r="H23" i="1" s="1"/>
  <c r="G10" i="1"/>
  <c r="H10" i="1" s="1"/>
  <c r="G52" i="1"/>
  <c r="G29" i="1"/>
  <c r="H29" i="1" s="1"/>
  <c r="G9" i="1"/>
  <c r="H9" i="1" s="1"/>
  <c r="G13" i="1"/>
  <c r="H13" i="1" s="1"/>
  <c r="G55" i="1"/>
  <c r="G49" i="1"/>
  <c r="H49" i="1" s="1"/>
  <c r="G22" i="1"/>
  <c r="H22" i="1" s="1"/>
  <c r="G14" i="1"/>
  <c r="H14" i="1" s="1"/>
  <c r="G32" i="1"/>
  <c r="G41" i="1"/>
  <c r="H41" i="1" s="1"/>
  <c r="G36" i="1"/>
  <c r="H36" i="1" s="1"/>
  <c r="G6" i="1"/>
  <c r="H6" i="1" s="1"/>
  <c r="G8" i="1"/>
  <c r="H8" i="1" s="1"/>
  <c r="G25" i="1"/>
  <c r="H25" i="1" s="1"/>
  <c r="G7" i="1"/>
  <c r="H7" i="1" s="1"/>
  <c r="G40" i="1"/>
  <c r="H40" i="1" s="1"/>
  <c r="G5" i="1"/>
  <c r="H5" i="1" s="1"/>
  <c r="G35" i="1"/>
  <c r="H35" i="1" s="1"/>
  <c r="G53" i="1"/>
  <c r="H53" i="1" s="1"/>
  <c r="G4" i="1"/>
  <c r="H4" i="1" s="1"/>
  <c r="G48" i="1"/>
  <c r="H48" i="1" s="1"/>
  <c r="G12" i="1"/>
  <c r="H12" i="1" s="1"/>
  <c r="G44" i="1"/>
  <c r="H44" i="1" s="1"/>
  <c r="G20" i="1"/>
  <c r="H20" i="1" s="1"/>
  <c r="G17" i="1"/>
  <c r="H17" i="1" s="1"/>
  <c r="G46" i="1"/>
  <c r="H46" i="1" s="1"/>
  <c r="G37" i="1"/>
  <c r="H37" i="1" s="1"/>
  <c r="G31" i="1"/>
  <c r="H31" i="1" s="1"/>
  <c r="G34" i="1"/>
  <c r="H34" i="1" s="1"/>
  <c r="G21" i="1"/>
  <c r="H21" i="1" s="1"/>
  <c r="G45" i="1"/>
  <c r="H45" i="1" s="1"/>
  <c r="G27" i="1"/>
  <c r="H27" i="1" s="1"/>
  <c r="G18" i="1"/>
  <c r="H18" i="1" s="1"/>
  <c r="G39" i="1"/>
  <c r="H39" i="1" s="1"/>
  <c r="G30" i="1"/>
  <c r="H30" i="1" s="1"/>
  <c r="G19" i="1"/>
  <c r="H19" i="1" s="1"/>
  <c r="G15" i="1"/>
  <c r="H15" i="1" s="1"/>
  <c r="G47" i="1"/>
  <c r="H47" i="1" s="1"/>
</calcChain>
</file>

<file path=xl/sharedStrings.xml><?xml version="1.0" encoding="utf-8"?>
<sst xmlns="http://schemas.openxmlformats.org/spreadsheetml/2006/main" count="63" uniqueCount="63">
  <si>
    <t>O'quvchilar: 28 | Fanlar: 4 | Jami savollar: 90</t>
  </si>
  <si>
    <t>№</t>
  </si>
  <si>
    <t>F.I.O</t>
  </si>
  <si>
    <t>Biologiya
(30 ta)</t>
  </si>
  <si>
    <t>Kimyo
(30 ta)</t>
  </si>
  <si>
    <t>Ona tili va adabiyot
(15 ta)</t>
  </si>
  <si>
    <t>Matematika
(15 ta)</t>
  </si>
  <si>
    <t>Jami ball</t>
  </si>
  <si>
    <t>Foiz (%)</t>
  </si>
  <si>
    <t>Abdufayozov Mirfayz</t>
  </si>
  <si>
    <t>Abdurahimova Ra'no</t>
  </si>
  <si>
    <t>Abdusattorov Javlonbek</t>
  </si>
  <si>
    <t>Boqiyev Azizxon</t>
  </si>
  <si>
    <t>Halimov Rustambek</t>
  </si>
  <si>
    <t>Izzatullayev Ziyodullo</t>
  </si>
  <si>
    <t>Jumayeva Rayhona</t>
  </si>
  <si>
    <t>Karimov O'tkir</t>
  </si>
  <si>
    <t>Malikov Meronshoh</t>
  </si>
  <si>
    <t>Muhammadova Sevara</t>
  </si>
  <si>
    <t>Nabijonov Alisher</t>
  </si>
  <si>
    <t>Nasulloyev Ixtiyor</t>
  </si>
  <si>
    <t>Nuriddinov Salohiddin</t>
  </si>
  <si>
    <t>Obidjonova Mohlaroyim</t>
  </si>
  <si>
    <t>Ochilov Shahzod</t>
  </si>
  <si>
    <t>Qahhorov Jasurbek</t>
  </si>
  <si>
    <t>Qudratillayev Aziz</t>
  </si>
  <si>
    <t>Sadriddinov Zuhriddin</t>
  </si>
  <si>
    <t>Safarova O'g'iloy</t>
  </si>
  <si>
    <t>Sharipov Shoxrux</t>
  </si>
  <si>
    <t>Shokirov Nurmuhammad</t>
  </si>
  <si>
    <t>Uchqunova Musallam</t>
  </si>
  <si>
    <t>Umarov Nurbek</t>
  </si>
  <si>
    <t>Xayriddinova Maftuna</t>
  </si>
  <si>
    <t>Xayrullayev Ibrohim</t>
  </si>
  <si>
    <t>Zoirov Nuriddin</t>
  </si>
  <si>
    <t>Zoirova Charos</t>
  </si>
  <si>
    <t>Blok test natijalar — 8-sinf | 8 Tibbiyot A va B | 2/2026</t>
  </si>
  <si>
    <t>Abdullayev Javohir</t>
  </si>
  <si>
    <t>Abduraximova Yoqutxon</t>
  </si>
  <si>
    <t>Akromov Kozimbek</t>
  </si>
  <si>
    <t>Halimov Oybek</t>
  </si>
  <si>
    <t>Hoshimov Umidjon</t>
  </si>
  <si>
    <t>Ibragimov Muhamadali</t>
  </si>
  <si>
    <t>Ibrohimov Ibrohim</t>
  </si>
  <si>
    <t>Ilhomov Jahongir</t>
  </si>
  <si>
    <t>Ilhomova Asal</t>
  </si>
  <si>
    <t>Jakboxirova  Parvina</t>
  </si>
  <si>
    <t>Nasullayev Botir</t>
  </si>
  <si>
    <t>Nurullayev Suxrob</t>
  </si>
  <si>
    <t>Oripov Otabek</t>
  </si>
  <si>
    <t>Rajabovz Muhabbat</t>
  </si>
  <si>
    <t>Raxmonov Kamronbek</t>
  </si>
  <si>
    <t>Rizoyeva Shoxruza</t>
  </si>
  <si>
    <t>Sabirova Barno</t>
  </si>
  <si>
    <t>Shodmonov Behruz</t>
  </si>
  <si>
    <t>Shokirova Bahor</t>
  </si>
  <si>
    <t>Sobirova Mehriniso</t>
  </si>
  <si>
    <t>Tolibova Shahnoza</t>
  </si>
  <si>
    <t>Toxirov Murtazo</t>
  </si>
  <si>
    <t>Toxtayeva Feruza</t>
  </si>
  <si>
    <t>Turdinazarov Kamronbek</t>
  </si>
  <si>
    <t>Valiyev Azizjon</t>
  </si>
  <si>
    <t>Vohidova Asila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</si>
</sst>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204"/>
    </font>
    <font>
      <b/>
      <sz val="14"/>
      <name val="Calibri"/>
      <family val="2"/>
      <charset val="204"/>
    </font>
    <font>
      <sz val="14"/>
      <name val="Calibri"/>
      <family val="2"/>
      <charset val="204"/>
    </font>
    <font>
      <sz val="14"/>
      <color rgb="FF166534"/>
      <name val="Calibri"/>
      <family val="2"/>
      <charset val="204"/>
    </font>
    <font>
      <b/>
      <sz val="14"/>
      <color rgb="FF991B1B"/>
      <name val="Calibri"/>
      <family val="2"/>
      <charset val="204"/>
    </font>
    <font>
      <sz val="14"/>
      <color rgb="FF991B1B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6366F1"/>
      </patternFill>
    </fill>
    <fill>
      <patternFill patternType="solid">
        <fgColor rgb="FFEEF2FF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10" fontId="6" fillId="5" borderId="1" xfId="1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topLeftCell="A25" workbookViewId="0">
      <selection activeCell="E6" sqref="E6"/>
    </sheetView>
  </sheetViews>
  <sheetFormatPr defaultRowHeight="15" x14ac:dyDescent="0.25"/>
  <cols>
    <col min="1" max="1" width="5" customWidth="1"/>
    <col min="2" max="2" width="32" customWidth="1"/>
    <col min="3" max="3" width="16.85546875" customWidth="1"/>
    <col min="4" max="4" width="15.42578125" customWidth="1"/>
    <col min="5" max="5" width="23.5703125" bestFit="1" customWidth="1"/>
    <col min="6" max="6" width="15.28515625" bestFit="1" customWidth="1"/>
    <col min="7" max="7" width="14" customWidth="1"/>
    <col min="8" max="8" width="12" customWidth="1"/>
  </cols>
  <sheetData>
    <row r="1" spans="1:8" ht="36" customHeight="1" x14ac:dyDescent="0.25">
      <c r="A1" s="1" t="s">
        <v>36</v>
      </c>
      <c r="B1" s="1"/>
      <c r="C1" s="1"/>
      <c r="D1" s="1"/>
      <c r="E1" s="1"/>
      <c r="F1" s="1"/>
      <c r="G1" s="1"/>
      <c r="H1" s="1"/>
    </row>
    <row r="2" spans="1:8" ht="24" customHeight="1" x14ac:dyDescent="0.25">
      <c r="A2" s="2" t="s">
        <v>0</v>
      </c>
      <c r="B2" s="2"/>
      <c r="C2" s="2"/>
      <c r="D2" s="2"/>
      <c r="E2" s="2"/>
      <c r="F2" s="2"/>
      <c r="G2" s="2"/>
      <c r="H2" s="2"/>
    </row>
    <row r="3" spans="1:8" ht="39.950000000000003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24" customHeight="1" x14ac:dyDescent="0.25">
      <c r="A4" s="4">
        <v>1</v>
      </c>
      <c r="B4" s="5" t="s">
        <v>18</v>
      </c>
      <c r="C4" s="6">
        <v>30</v>
      </c>
      <c r="D4" s="6">
        <v>25</v>
      </c>
      <c r="E4" s="6">
        <v>12</v>
      </c>
      <c r="F4" s="6">
        <v>14</v>
      </c>
      <c r="G4" s="4">
        <f t="shared" ref="G4:G35" si="0">C4*3.1+D4*2.1+E4*1.1+F4*1.1</f>
        <v>174.1</v>
      </c>
      <c r="H4" s="7">
        <f t="shared" ref="H4:H35" si="1">G4/189</f>
        <v>0.92116402116402119</v>
      </c>
    </row>
    <row r="5" spans="1:8" ht="24" customHeight="1" x14ac:dyDescent="0.25">
      <c r="A5" s="8">
        <v>2</v>
      </c>
      <c r="B5" s="5" t="s">
        <v>15</v>
      </c>
      <c r="C5" s="6">
        <v>29</v>
      </c>
      <c r="D5" s="6">
        <v>22</v>
      </c>
      <c r="E5" s="6">
        <v>11</v>
      </c>
      <c r="F5" s="6">
        <v>13</v>
      </c>
      <c r="G5" s="4">
        <f t="shared" si="0"/>
        <v>162.50000000000003</v>
      </c>
      <c r="H5" s="7">
        <f t="shared" si="1"/>
        <v>0.85978835978835999</v>
      </c>
    </row>
    <row r="6" spans="1:8" ht="24" customHeight="1" x14ac:dyDescent="0.25">
      <c r="A6" s="4">
        <v>3</v>
      </c>
      <c r="B6" s="9" t="s">
        <v>10</v>
      </c>
      <c r="C6" s="6">
        <v>26</v>
      </c>
      <c r="D6" s="6">
        <v>24</v>
      </c>
      <c r="E6" s="10">
        <v>6</v>
      </c>
      <c r="F6" s="6">
        <v>13</v>
      </c>
      <c r="G6" s="4">
        <f t="shared" si="0"/>
        <v>151.9</v>
      </c>
      <c r="H6" s="7">
        <f t="shared" si="1"/>
        <v>0.8037037037037037</v>
      </c>
    </row>
    <row r="7" spans="1:8" ht="24" customHeight="1" x14ac:dyDescent="0.25">
      <c r="A7" s="8">
        <v>4</v>
      </c>
      <c r="B7" s="5" t="s">
        <v>13</v>
      </c>
      <c r="C7" s="6">
        <v>29</v>
      </c>
      <c r="D7" s="11">
        <v>20</v>
      </c>
      <c r="E7" s="11">
        <v>7</v>
      </c>
      <c r="F7" s="11">
        <v>9</v>
      </c>
      <c r="G7" s="4">
        <f t="shared" si="0"/>
        <v>149.5</v>
      </c>
      <c r="H7" s="7">
        <f t="shared" si="1"/>
        <v>0.79100529100529104</v>
      </c>
    </row>
    <row r="8" spans="1:8" ht="24" customHeight="1" x14ac:dyDescent="0.25">
      <c r="A8" s="4">
        <v>5</v>
      </c>
      <c r="B8" s="5" t="s">
        <v>11</v>
      </c>
      <c r="C8" s="6">
        <v>24</v>
      </c>
      <c r="D8" s="6">
        <v>22</v>
      </c>
      <c r="E8" s="6">
        <v>12</v>
      </c>
      <c r="F8" s="6">
        <v>14</v>
      </c>
      <c r="G8" s="4">
        <f t="shared" si="0"/>
        <v>149.20000000000002</v>
      </c>
      <c r="H8" s="7">
        <f t="shared" si="1"/>
        <v>0.78941798941798946</v>
      </c>
    </row>
    <row r="9" spans="1:8" ht="24" customHeight="1" x14ac:dyDescent="0.25">
      <c r="A9" s="8">
        <v>6</v>
      </c>
      <c r="B9" s="9" t="s">
        <v>54</v>
      </c>
      <c r="C9" s="6">
        <v>22</v>
      </c>
      <c r="D9" s="6">
        <v>23</v>
      </c>
      <c r="E9" s="6">
        <v>12</v>
      </c>
      <c r="F9" s="6">
        <v>14</v>
      </c>
      <c r="G9" s="4">
        <f t="shared" si="0"/>
        <v>145.1</v>
      </c>
      <c r="H9" s="7">
        <f t="shared" si="1"/>
        <v>0.7677248677248677</v>
      </c>
    </row>
    <row r="10" spans="1:8" ht="24" customHeight="1" x14ac:dyDescent="0.25">
      <c r="A10" s="4">
        <v>7</v>
      </c>
      <c r="B10" s="5" t="s">
        <v>51</v>
      </c>
      <c r="C10" s="6">
        <v>24</v>
      </c>
      <c r="D10" s="6">
        <v>23</v>
      </c>
      <c r="E10" s="11">
        <v>6</v>
      </c>
      <c r="F10" s="6">
        <v>14</v>
      </c>
      <c r="G10" s="4">
        <f t="shared" si="0"/>
        <v>144.70000000000002</v>
      </c>
      <c r="H10" s="7">
        <f t="shared" si="1"/>
        <v>0.76560846560846574</v>
      </c>
    </row>
    <row r="11" spans="1:8" ht="24" customHeight="1" x14ac:dyDescent="0.25">
      <c r="A11" s="8">
        <v>8</v>
      </c>
      <c r="B11" s="9" t="s">
        <v>40</v>
      </c>
      <c r="C11" s="6">
        <v>25</v>
      </c>
      <c r="D11" s="10">
        <v>19</v>
      </c>
      <c r="E11" s="12">
        <v>5</v>
      </c>
      <c r="F11" s="6">
        <v>14</v>
      </c>
      <c r="G11" s="4">
        <f t="shared" si="0"/>
        <v>138.30000000000001</v>
      </c>
      <c r="H11" s="7">
        <f t="shared" si="1"/>
        <v>0.73174603174603181</v>
      </c>
    </row>
    <row r="12" spans="1:8" ht="24" customHeight="1" x14ac:dyDescent="0.25">
      <c r="A12" s="4">
        <v>9</v>
      </c>
      <c r="B12" s="5" t="s">
        <v>20</v>
      </c>
      <c r="C12" s="6">
        <v>24</v>
      </c>
      <c r="D12" s="11">
        <v>18</v>
      </c>
      <c r="E12" s="11">
        <v>8</v>
      </c>
      <c r="F12" s="6">
        <v>14</v>
      </c>
      <c r="G12" s="4">
        <f t="shared" si="0"/>
        <v>136.4</v>
      </c>
      <c r="H12" s="7">
        <f t="shared" si="1"/>
        <v>0.72169312169312172</v>
      </c>
    </row>
    <row r="13" spans="1:8" ht="24" customHeight="1" x14ac:dyDescent="0.25">
      <c r="A13" s="8">
        <v>10</v>
      </c>
      <c r="B13" s="5" t="s">
        <v>55</v>
      </c>
      <c r="C13" s="6">
        <v>22</v>
      </c>
      <c r="D13" s="11">
        <v>19</v>
      </c>
      <c r="E13" s="11">
        <v>9</v>
      </c>
      <c r="F13" s="6">
        <v>13</v>
      </c>
      <c r="G13" s="4">
        <f t="shared" si="0"/>
        <v>132.30000000000001</v>
      </c>
      <c r="H13" s="7">
        <f t="shared" si="1"/>
        <v>0.70000000000000007</v>
      </c>
    </row>
    <row r="14" spans="1:8" ht="24" customHeight="1" x14ac:dyDescent="0.25">
      <c r="A14" s="4">
        <v>11</v>
      </c>
      <c r="B14" s="5" t="s">
        <v>59</v>
      </c>
      <c r="C14" s="11">
        <v>17</v>
      </c>
      <c r="D14" s="6">
        <v>25</v>
      </c>
      <c r="E14" s="11">
        <v>10</v>
      </c>
      <c r="F14" s="6">
        <v>14</v>
      </c>
      <c r="G14" s="4">
        <f t="shared" si="0"/>
        <v>131.6</v>
      </c>
      <c r="H14" s="7">
        <f t="shared" si="1"/>
        <v>0.6962962962962963</v>
      </c>
    </row>
    <row r="15" spans="1:8" ht="24" customHeight="1" x14ac:dyDescent="0.25">
      <c r="A15" s="8">
        <v>12</v>
      </c>
      <c r="B15" s="9" t="s">
        <v>35</v>
      </c>
      <c r="C15" s="10">
        <v>19</v>
      </c>
      <c r="D15" s="6">
        <v>22</v>
      </c>
      <c r="E15" s="10">
        <v>8</v>
      </c>
      <c r="F15" s="6">
        <v>15</v>
      </c>
      <c r="G15" s="4">
        <f t="shared" si="0"/>
        <v>130.39999999999998</v>
      </c>
      <c r="H15" s="7">
        <f t="shared" si="1"/>
        <v>0.68994708994708986</v>
      </c>
    </row>
    <row r="16" spans="1:8" ht="24" customHeight="1" x14ac:dyDescent="0.25">
      <c r="A16" s="4">
        <v>13</v>
      </c>
      <c r="B16" s="5" t="s">
        <v>47</v>
      </c>
      <c r="C16" s="11">
        <v>17</v>
      </c>
      <c r="D16" s="6">
        <v>23</v>
      </c>
      <c r="E16" s="11">
        <v>7</v>
      </c>
      <c r="F16" s="6">
        <v>14</v>
      </c>
      <c r="G16" s="4">
        <f t="shared" si="0"/>
        <v>124.10000000000001</v>
      </c>
      <c r="H16" s="7">
        <f t="shared" si="1"/>
        <v>0.65661375661375665</v>
      </c>
    </row>
    <row r="17" spans="1:8" ht="24" customHeight="1" x14ac:dyDescent="0.25">
      <c r="A17" s="8">
        <v>14</v>
      </c>
      <c r="B17" s="9" t="s">
        <v>23</v>
      </c>
      <c r="C17" s="10">
        <v>22</v>
      </c>
      <c r="D17" s="10">
        <v>15</v>
      </c>
      <c r="E17" s="10">
        <v>9</v>
      </c>
      <c r="F17" s="6">
        <v>13</v>
      </c>
      <c r="G17" s="4">
        <f t="shared" si="0"/>
        <v>123.9</v>
      </c>
      <c r="H17" s="7">
        <f t="shared" si="1"/>
        <v>0.65555555555555556</v>
      </c>
    </row>
    <row r="18" spans="1:8" ht="24" customHeight="1" x14ac:dyDescent="0.25">
      <c r="A18" s="4">
        <v>15</v>
      </c>
      <c r="B18" s="9" t="s">
        <v>31</v>
      </c>
      <c r="C18" s="10">
        <v>23</v>
      </c>
      <c r="D18" s="10">
        <v>15</v>
      </c>
      <c r="E18" s="10">
        <v>9</v>
      </c>
      <c r="F18" s="10">
        <v>9</v>
      </c>
      <c r="G18" s="4">
        <f t="shared" si="0"/>
        <v>122.60000000000001</v>
      </c>
      <c r="H18" s="7">
        <f t="shared" si="1"/>
        <v>0.64867724867724874</v>
      </c>
    </row>
    <row r="19" spans="1:8" ht="24" customHeight="1" x14ac:dyDescent="0.25">
      <c r="A19" s="8">
        <v>16</v>
      </c>
      <c r="B19" s="5" t="s">
        <v>34</v>
      </c>
      <c r="C19" s="11">
        <v>19</v>
      </c>
      <c r="D19" s="11">
        <v>20</v>
      </c>
      <c r="E19" s="12">
        <v>5</v>
      </c>
      <c r="F19" s="6">
        <v>14</v>
      </c>
      <c r="G19" s="4">
        <f t="shared" si="0"/>
        <v>121.80000000000001</v>
      </c>
      <c r="H19" s="7">
        <f t="shared" si="1"/>
        <v>0.64444444444444449</v>
      </c>
    </row>
    <row r="20" spans="1:8" ht="24" customHeight="1" x14ac:dyDescent="0.25">
      <c r="A20" s="4">
        <v>17</v>
      </c>
      <c r="B20" s="5" t="s">
        <v>22</v>
      </c>
      <c r="C20" s="11">
        <v>22</v>
      </c>
      <c r="D20" s="11">
        <v>17</v>
      </c>
      <c r="E20" s="11">
        <v>6</v>
      </c>
      <c r="F20" s="11">
        <v>10</v>
      </c>
      <c r="G20" s="4">
        <f t="shared" si="0"/>
        <v>121.5</v>
      </c>
      <c r="H20" s="7">
        <f t="shared" si="1"/>
        <v>0.6428571428571429</v>
      </c>
    </row>
    <row r="21" spans="1:8" ht="24" customHeight="1" x14ac:dyDescent="0.25">
      <c r="A21" s="8">
        <v>18</v>
      </c>
      <c r="B21" s="5" t="s">
        <v>28</v>
      </c>
      <c r="C21" s="11">
        <v>22</v>
      </c>
      <c r="D21" s="11">
        <v>14</v>
      </c>
      <c r="E21" s="11">
        <v>6</v>
      </c>
      <c r="F21" s="6">
        <v>15</v>
      </c>
      <c r="G21" s="4">
        <f t="shared" si="0"/>
        <v>120.7</v>
      </c>
      <c r="H21" s="7">
        <f t="shared" si="1"/>
        <v>0.63862433862433865</v>
      </c>
    </row>
    <row r="22" spans="1:8" ht="24" customHeight="1" x14ac:dyDescent="0.25">
      <c r="A22" s="4">
        <v>19</v>
      </c>
      <c r="B22" s="9" t="s">
        <v>58</v>
      </c>
      <c r="C22" s="10">
        <v>20</v>
      </c>
      <c r="D22" s="10">
        <v>19</v>
      </c>
      <c r="E22" s="12">
        <v>4</v>
      </c>
      <c r="F22" s="6">
        <v>13</v>
      </c>
      <c r="G22" s="4">
        <f t="shared" si="0"/>
        <v>120.60000000000001</v>
      </c>
      <c r="H22" s="7">
        <f t="shared" si="1"/>
        <v>0.63809523809523816</v>
      </c>
    </row>
    <row r="23" spans="1:8" ht="24" customHeight="1" x14ac:dyDescent="0.25">
      <c r="A23" s="8">
        <v>20</v>
      </c>
      <c r="B23" s="9" t="s">
        <v>50</v>
      </c>
      <c r="C23" s="10">
        <v>17</v>
      </c>
      <c r="D23" s="10">
        <v>17</v>
      </c>
      <c r="E23" s="6">
        <v>12</v>
      </c>
      <c r="F23" s="6">
        <v>14</v>
      </c>
      <c r="G23" s="4">
        <f t="shared" si="0"/>
        <v>117.00000000000001</v>
      </c>
      <c r="H23" s="7">
        <f t="shared" si="1"/>
        <v>0.61904761904761907</v>
      </c>
    </row>
    <row r="24" spans="1:8" ht="24" customHeight="1" x14ac:dyDescent="0.25">
      <c r="A24" s="4">
        <v>21</v>
      </c>
      <c r="B24" s="5" t="s">
        <v>45</v>
      </c>
      <c r="C24" s="11">
        <v>14</v>
      </c>
      <c r="D24" s="6">
        <v>22</v>
      </c>
      <c r="E24" s="11">
        <v>10</v>
      </c>
      <c r="F24" s="6">
        <v>14</v>
      </c>
      <c r="G24" s="4">
        <f t="shared" si="0"/>
        <v>116</v>
      </c>
      <c r="H24" s="7">
        <f t="shared" si="1"/>
        <v>0.61375661375661372</v>
      </c>
    </row>
    <row r="25" spans="1:8" ht="24" customHeight="1" x14ac:dyDescent="0.25">
      <c r="A25" s="8">
        <v>22</v>
      </c>
      <c r="B25" s="9" t="s">
        <v>12</v>
      </c>
      <c r="C25" s="10">
        <v>22</v>
      </c>
      <c r="D25" s="10">
        <v>18</v>
      </c>
      <c r="E25" s="12">
        <v>3</v>
      </c>
      <c r="F25" s="10">
        <v>6</v>
      </c>
      <c r="G25" s="4">
        <f t="shared" si="0"/>
        <v>115.89999999999999</v>
      </c>
      <c r="H25" s="7">
        <f t="shared" si="1"/>
        <v>0.61322751322751323</v>
      </c>
    </row>
    <row r="26" spans="1:8" ht="24" customHeight="1" x14ac:dyDescent="0.25">
      <c r="A26" s="4">
        <v>23</v>
      </c>
      <c r="B26" s="9" t="s">
        <v>38</v>
      </c>
      <c r="C26" s="10">
        <v>20</v>
      </c>
      <c r="D26" s="10">
        <v>15</v>
      </c>
      <c r="E26" s="10">
        <v>6</v>
      </c>
      <c r="F26" s="6">
        <v>14</v>
      </c>
      <c r="G26" s="4">
        <f t="shared" si="0"/>
        <v>115.5</v>
      </c>
      <c r="H26" s="7">
        <f t="shared" si="1"/>
        <v>0.61111111111111116</v>
      </c>
    </row>
    <row r="27" spans="1:8" ht="24" customHeight="1" x14ac:dyDescent="0.25">
      <c r="A27" s="8">
        <v>24</v>
      </c>
      <c r="B27" s="5" t="s">
        <v>30</v>
      </c>
      <c r="C27" s="11">
        <v>22</v>
      </c>
      <c r="D27" s="11">
        <v>13</v>
      </c>
      <c r="E27" s="11">
        <v>9</v>
      </c>
      <c r="F27" s="11">
        <v>9</v>
      </c>
      <c r="G27" s="4">
        <f t="shared" si="0"/>
        <v>115.30000000000001</v>
      </c>
      <c r="H27" s="7">
        <f t="shared" si="1"/>
        <v>0.61005291005291007</v>
      </c>
    </row>
    <row r="28" spans="1:8" ht="24" customHeight="1" x14ac:dyDescent="0.25">
      <c r="A28" s="4">
        <v>25</v>
      </c>
      <c r="B28" s="9" t="s">
        <v>48</v>
      </c>
      <c r="C28" s="10">
        <v>16</v>
      </c>
      <c r="D28" s="10">
        <v>19</v>
      </c>
      <c r="E28" s="10">
        <v>9</v>
      </c>
      <c r="F28" s="6">
        <v>14</v>
      </c>
      <c r="G28" s="4">
        <f t="shared" si="0"/>
        <v>114.80000000000001</v>
      </c>
      <c r="H28" s="7">
        <f t="shared" si="1"/>
        <v>0.60740740740740751</v>
      </c>
    </row>
    <row r="29" spans="1:8" ht="24" customHeight="1" x14ac:dyDescent="0.25">
      <c r="A29" s="8">
        <v>26</v>
      </c>
      <c r="B29" s="5" t="s">
        <v>53</v>
      </c>
      <c r="C29" s="11">
        <v>15</v>
      </c>
      <c r="D29" s="11">
        <v>20</v>
      </c>
      <c r="E29" s="6">
        <v>11</v>
      </c>
      <c r="F29" s="6">
        <v>12</v>
      </c>
      <c r="G29" s="4">
        <f t="shared" si="0"/>
        <v>113.8</v>
      </c>
      <c r="H29" s="7">
        <f t="shared" si="1"/>
        <v>0.60211640211640205</v>
      </c>
    </row>
    <row r="30" spans="1:8" ht="24" customHeight="1" x14ac:dyDescent="0.25">
      <c r="A30" s="4">
        <v>27</v>
      </c>
      <c r="B30" s="9" t="s">
        <v>33</v>
      </c>
      <c r="C30" s="6">
        <v>26</v>
      </c>
      <c r="D30" s="12">
        <v>10</v>
      </c>
      <c r="E30" s="12">
        <v>4</v>
      </c>
      <c r="F30" s="10">
        <v>6</v>
      </c>
      <c r="G30" s="4">
        <f t="shared" si="0"/>
        <v>112.60000000000001</v>
      </c>
      <c r="H30" s="7">
        <f t="shared" si="1"/>
        <v>0.59576719576719583</v>
      </c>
    </row>
    <row r="31" spans="1:8" ht="24" customHeight="1" x14ac:dyDescent="0.25">
      <c r="A31" s="8">
        <v>28</v>
      </c>
      <c r="B31" s="5" t="s">
        <v>26</v>
      </c>
      <c r="C31" s="11">
        <v>22</v>
      </c>
      <c r="D31" s="11">
        <v>13</v>
      </c>
      <c r="E31" s="11">
        <v>7</v>
      </c>
      <c r="F31" s="12">
        <v>5</v>
      </c>
      <c r="G31" s="4">
        <f t="shared" si="0"/>
        <v>108.7</v>
      </c>
      <c r="H31" s="7">
        <f t="shared" si="1"/>
        <v>0.57513227513227516</v>
      </c>
    </row>
    <row r="32" spans="1:8" ht="18.75" x14ac:dyDescent="0.25">
      <c r="A32" s="4">
        <v>29</v>
      </c>
      <c r="B32" s="9" t="s">
        <v>60</v>
      </c>
      <c r="C32" s="10">
        <v>17</v>
      </c>
      <c r="D32" s="10">
        <v>17</v>
      </c>
      <c r="E32" s="12">
        <v>4</v>
      </c>
      <c r="F32" s="6">
        <v>14</v>
      </c>
      <c r="G32" s="4">
        <f t="shared" si="0"/>
        <v>108.20000000000002</v>
      </c>
      <c r="H32" s="7">
        <f t="shared" si="1"/>
        <v>0.5724867724867726</v>
      </c>
    </row>
    <row r="33" spans="1:8" ht="18.75" x14ac:dyDescent="0.25">
      <c r="A33" s="8">
        <v>30</v>
      </c>
      <c r="B33" s="5" t="s">
        <v>37</v>
      </c>
      <c r="C33" s="11">
        <v>14</v>
      </c>
      <c r="D33" s="11">
        <v>18</v>
      </c>
      <c r="E33" s="11">
        <v>9</v>
      </c>
      <c r="F33" s="6">
        <v>13</v>
      </c>
      <c r="G33" s="4">
        <f t="shared" si="0"/>
        <v>105.4</v>
      </c>
      <c r="H33" s="7">
        <f t="shared" si="1"/>
        <v>0.55767195767195765</v>
      </c>
    </row>
    <row r="34" spans="1:8" ht="18.75" x14ac:dyDescent="0.25">
      <c r="A34" s="4">
        <v>31</v>
      </c>
      <c r="B34" s="9" t="s">
        <v>27</v>
      </c>
      <c r="C34" s="12">
        <v>13</v>
      </c>
      <c r="D34" s="6">
        <v>22</v>
      </c>
      <c r="E34" s="10">
        <v>7</v>
      </c>
      <c r="F34" s="10">
        <v>9</v>
      </c>
      <c r="G34" s="4">
        <f t="shared" si="0"/>
        <v>104.10000000000001</v>
      </c>
      <c r="H34" s="7">
        <f t="shared" si="1"/>
        <v>0.55079365079365084</v>
      </c>
    </row>
    <row r="35" spans="1:8" ht="18.75" x14ac:dyDescent="0.25">
      <c r="A35" s="8">
        <v>32</v>
      </c>
      <c r="B35" s="9" t="s">
        <v>16</v>
      </c>
      <c r="C35" s="10">
        <v>19</v>
      </c>
      <c r="D35" s="10">
        <v>12</v>
      </c>
      <c r="E35" s="10">
        <v>8</v>
      </c>
      <c r="F35" s="10">
        <v>7</v>
      </c>
      <c r="G35" s="4">
        <f t="shared" si="0"/>
        <v>100.6</v>
      </c>
      <c r="H35" s="7">
        <f t="shared" si="1"/>
        <v>0.53227513227513223</v>
      </c>
    </row>
    <row r="36" spans="1:8" ht="18.75" x14ac:dyDescent="0.25">
      <c r="A36" s="4">
        <v>33</v>
      </c>
      <c r="B36" s="9" t="s">
        <v>62</v>
      </c>
      <c r="C36" s="10">
        <v>15</v>
      </c>
      <c r="D36" s="10">
        <v>15</v>
      </c>
      <c r="E36" s="10">
        <v>7</v>
      </c>
      <c r="F36" s="6">
        <v>13</v>
      </c>
      <c r="G36" s="4">
        <f t="shared" ref="G36:G67" si="2">C36*3.1+D36*2.1+E36*1.1+F36*1.1</f>
        <v>100</v>
      </c>
      <c r="H36" s="7">
        <f t="shared" ref="H36:H67" si="3">G36/189</f>
        <v>0.52910052910052907</v>
      </c>
    </row>
    <row r="37" spans="1:8" ht="18.75" x14ac:dyDescent="0.25">
      <c r="A37" s="8">
        <v>34</v>
      </c>
      <c r="B37" s="9" t="s">
        <v>25</v>
      </c>
      <c r="C37" s="10">
        <v>17</v>
      </c>
      <c r="D37" s="10">
        <v>13</v>
      </c>
      <c r="E37" s="10">
        <v>6</v>
      </c>
      <c r="F37" s="6">
        <v>11</v>
      </c>
      <c r="G37" s="4">
        <f t="shared" si="2"/>
        <v>98.699999999999989</v>
      </c>
      <c r="H37" s="7">
        <f t="shared" si="3"/>
        <v>0.52222222222222214</v>
      </c>
    </row>
    <row r="38" spans="1:8" ht="18.75" x14ac:dyDescent="0.25">
      <c r="A38" s="4">
        <v>35</v>
      </c>
      <c r="B38" s="9" t="s">
        <v>44</v>
      </c>
      <c r="C38" s="10">
        <v>16</v>
      </c>
      <c r="D38" s="10">
        <v>13</v>
      </c>
      <c r="E38" s="12">
        <v>5</v>
      </c>
      <c r="F38" s="6">
        <v>14</v>
      </c>
      <c r="G38" s="4">
        <f t="shared" si="2"/>
        <v>97.800000000000011</v>
      </c>
      <c r="H38" s="7">
        <f t="shared" si="3"/>
        <v>0.51746031746031751</v>
      </c>
    </row>
    <row r="39" spans="1:8" ht="18.75" x14ac:dyDescent="0.25">
      <c r="A39" s="8">
        <v>36</v>
      </c>
      <c r="B39" s="5" t="s">
        <v>32</v>
      </c>
      <c r="C39" s="11">
        <v>15</v>
      </c>
      <c r="D39" s="11">
        <v>17</v>
      </c>
      <c r="E39" s="12">
        <v>5</v>
      </c>
      <c r="F39" s="11">
        <v>9</v>
      </c>
      <c r="G39" s="4">
        <f t="shared" si="2"/>
        <v>97.600000000000009</v>
      </c>
      <c r="H39" s="7">
        <f t="shared" si="3"/>
        <v>0.51640211640211642</v>
      </c>
    </row>
    <row r="40" spans="1:8" ht="18.75" x14ac:dyDescent="0.25">
      <c r="A40" s="4">
        <v>37</v>
      </c>
      <c r="B40" s="9" t="s">
        <v>14</v>
      </c>
      <c r="C40" s="10">
        <v>18</v>
      </c>
      <c r="D40" s="10">
        <v>13</v>
      </c>
      <c r="E40" s="12">
        <v>5</v>
      </c>
      <c r="F40" s="10">
        <v>8</v>
      </c>
      <c r="G40" s="4">
        <f t="shared" si="2"/>
        <v>97.4</v>
      </c>
      <c r="H40" s="7">
        <f t="shared" si="3"/>
        <v>0.51534391534391533</v>
      </c>
    </row>
    <row r="41" spans="1:8" ht="18.75" x14ac:dyDescent="0.25">
      <c r="A41" s="8">
        <v>38</v>
      </c>
      <c r="B41" s="5" t="s">
        <v>61</v>
      </c>
      <c r="C41" s="12">
        <v>8</v>
      </c>
      <c r="D41" s="6">
        <v>23</v>
      </c>
      <c r="E41" s="11">
        <v>6</v>
      </c>
      <c r="F41" s="6">
        <v>14</v>
      </c>
      <c r="G41" s="4">
        <f t="shared" si="2"/>
        <v>95.100000000000009</v>
      </c>
      <c r="H41" s="7">
        <f t="shared" si="3"/>
        <v>0.50317460317460327</v>
      </c>
    </row>
    <row r="42" spans="1:8" ht="18.75" x14ac:dyDescent="0.25">
      <c r="A42" s="4">
        <v>39</v>
      </c>
      <c r="B42" s="5" t="s">
        <v>39</v>
      </c>
      <c r="C42" s="11">
        <v>16</v>
      </c>
      <c r="D42" s="11">
        <v>14</v>
      </c>
      <c r="E42" s="12">
        <v>2</v>
      </c>
      <c r="F42" s="6">
        <v>12</v>
      </c>
      <c r="G42" s="4">
        <f t="shared" si="2"/>
        <v>94.4</v>
      </c>
      <c r="H42" s="7">
        <f t="shared" si="3"/>
        <v>0.49947089947089951</v>
      </c>
    </row>
    <row r="43" spans="1:8" ht="18.75" x14ac:dyDescent="0.25">
      <c r="A43" s="8">
        <v>40</v>
      </c>
      <c r="B43" s="5" t="s">
        <v>49</v>
      </c>
      <c r="C43" s="11">
        <v>12</v>
      </c>
      <c r="D43" s="11">
        <v>16</v>
      </c>
      <c r="E43" s="12">
        <v>4</v>
      </c>
      <c r="F43" s="6">
        <v>14</v>
      </c>
      <c r="G43" s="4">
        <f t="shared" si="2"/>
        <v>90.600000000000023</v>
      </c>
      <c r="H43" s="7">
        <f t="shared" si="3"/>
        <v>0.47936507936507949</v>
      </c>
    </row>
    <row r="44" spans="1:8" ht="18.75" x14ac:dyDescent="0.25">
      <c r="A44" s="4">
        <v>41</v>
      </c>
      <c r="B44" s="9" t="s">
        <v>21</v>
      </c>
      <c r="C44" s="10">
        <v>20</v>
      </c>
      <c r="D44" s="12">
        <v>7</v>
      </c>
      <c r="E44" s="10">
        <v>6</v>
      </c>
      <c r="F44" s="10">
        <v>6</v>
      </c>
      <c r="G44" s="4">
        <f t="shared" si="2"/>
        <v>89.899999999999991</v>
      </c>
      <c r="H44" s="7">
        <f t="shared" si="3"/>
        <v>0.47566137566137562</v>
      </c>
    </row>
    <row r="45" spans="1:8" ht="18.75" x14ac:dyDescent="0.25">
      <c r="A45" s="8">
        <v>42</v>
      </c>
      <c r="B45" s="9" t="s">
        <v>29</v>
      </c>
      <c r="C45" s="10">
        <v>15</v>
      </c>
      <c r="D45" s="10">
        <v>13</v>
      </c>
      <c r="E45" s="12">
        <v>2</v>
      </c>
      <c r="F45" s="6">
        <v>11</v>
      </c>
      <c r="G45" s="4">
        <f t="shared" si="2"/>
        <v>88.1</v>
      </c>
      <c r="H45" s="7">
        <f t="shared" si="3"/>
        <v>0.46613756613756613</v>
      </c>
    </row>
    <row r="46" spans="1:8" ht="18.75" x14ac:dyDescent="0.25">
      <c r="A46" s="4">
        <v>43</v>
      </c>
      <c r="B46" s="5" t="s">
        <v>24</v>
      </c>
      <c r="C46" s="12">
        <v>11</v>
      </c>
      <c r="D46" s="11">
        <v>16</v>
      </c>
      <c r="E46" s="12">
        <v>5</v>
      </c>
      <c r="F46" s="6">
        <v>13</v>
      </c>
      <c r="G46" s="4">
        <f t="shared" si="2"/>
        <v>87.5</v>
      </c>
      <c r="H46" s="7">
        <f t="shared" si="3"/>
        <v>0.46296296296296297</v>
      </c>
    </row>
    <row r="47" spans="1:8" ht="18.75" x14ac:dyDescent="0.25">
      <c r="A47" s="8">
        <v>44</v>
      </c>
      <c r="B47" s="5" t="s">
        <v>9</v>
      </c>
      <c r="C47" s="12">
        <v>13</v>
      </c>
      <c r="D47" s="12">
        <v>11</v>
      </c>
      <c r="E47" s="12">
        <v>3</v>
      </c>
      <c r="F47" s="11">
        <v>13</v>
      </c>
      <c r="G47" s="4">
        <f t="shared" si="2"/>
        <v>81</v>
      </c>
      <c r="H47" s="7">
        <f t="shared" si="3"/>
        <v>0.42857142857142855</v>
      </c>
    </row>
    <row r="48" spans="1:8" ht="18.75" x14ac:dyDescent="0.25">
      <c r="A48" s="4">
        <v>45</v>
      </c>
      <c r="B48" s="9" t="s">
        <v>19</v>
      </c>
      <c r="C48" s="10">
        <v>15</v>
      </c>
      <c r="D48" s="12">
        <v>10</v>
      </c>
      <c r="E48" s="12">
        <v>4</v>
      </c>
      <c r="F48" s="12">
        <v>5</v>
      </c>
      <c r="G48" s="4">
        <f t="shared" si="2"/>
        <v>77.400000000000006</v>
      </c>
      <c r="H48" s="7">
        <f t="shared" si="3"/>
        <v>0.40952380952380957</v>
      </c>
    </row>
    <row r="49" spans="1:8" ht="18.75" x14ac:dyDescent="0.25">
      <c r="A49" s="8">
        <v>46</v>
      </c>
      <c r="B49" s="5" t="s">
        <v>57</v>
      </c>
      <c r="C49" s="12">
        <v>11</v>
      </c>
      <c r="D49" s="12">
        <v>11</v>
      </c>
      <c r="E49" s="11">
        <v>6</v>
      </c>
      <c r="F49" s="6">
        <v>12</v>
      </c>
      <c r="G49" s="4">
        <f t="shared" si="2"/>
        <v>77</v>
      </c>
      <c r="H49" s="7">
        <f t="shared" si="3"/>
        <v>0.40740740740740738</v>
      </c>
    </row>
    <row r="50" spans="1:8" ht="18.75" x14ac:dyDescent="0.25">
      <c r="A50" s="4">
        <v>47</v>
      </c>
      <c r="B50" s="9" t="s">
        <v>42</v>
      </c>
      <c r="C50" s="12">
        <v>10</v>
      </c>
      <c r="D50" s="10">
        <v>15</v>
      </c>
      <c r="E50" s="12">
        <v>3</v>
      </c>
      <c r="F50" s="10">
        <v>10</v>
      </c>
      <c r="G50" s="4">
        <f t="shared" si="2"/>
        <v>76.8</v>
      </c>
      <c r="H50" s="7">
        <f t="shared" si="3"/>
        <v>0.40634920634920635</v>
      </c>
    </row>
    <row r="51" spans="1:8" ht="18.75" x14ac:dyDescent="0.25">
      <c r="A51" s="8">
        <v>48</v>
      </c>
      <c r="B51" s="5" t="s">
        <v>41</v>
      </c>
      <c r="C51" s="12">
        <v>9</v>
      </c>
      <c r="D51" s="12">
        <v>10</v>
      </c>
      <c r="E51" s="11">
        <v>8</v>
      </c>
      <c r="F51" s="6">
        <v>15</v>
      </c>
      <c r="G51" s="4">
        <f t="shared" si="2"/>
        <v>74.2</v>
      </c>
      <c r="H51" s="7">
        <f t="shared" si="3"/>
        <v>0.3925925925925926</v>
      </c>
    </row>
    <row r="52" spans="1:8" ht="18.75" x14ac:dyDescent="0.25">
      <c r="A52" s="4">
        <v>49</v>
      </c>
      <c r="B52" s="9" t="s">
        <v>52</v>
      </c>
      <c r="C52" s="10">
        <v>12</v>
      </c>
      <c r="D52" s="12">
        <v>8</v>
      </c>
      <c r="E52" s="12">
        <v>5</v>
      </c>
      <c r="F52" s="10">
        <v>9</v>
      </c>
      <c r="G52" s="4">
        <f t="shared" si="2"/>
        <v>69.400000000000006</v>
      </c>
      <c r="H52" s="7">
        <f t="shared" si="3"/>
        <v>0.36719576719576724</v>
      </c>
    </row>
    <row r="53" spans="1:8" ht="18.75" x14ac:dyDescent="0.25">
      <c r="A53" s="8">
        <v>50</v>
      </c>
      <c r="B53" s="9" t="s">
        <v>17</v>
      </c>
      <c r="C53" s="12">
        <v>11</v>
      </c>
      <c r="D53" s="12">
        <v>11</v>
      </c>
      <c r="E53" s="12">
        <v>4</v>
      </c>
      <c r="F53" s="12">
        <v>4</v>
      </c>
      <c r="G53" s="4">
        <f t="shared" si="2"/>
        <v>66</v>
      </c>
      <c r="H53" s="7">
        <f t="shared" si="3"/>
        <v>0.34920634920634919</v>
      </c>
    </row>
    <row r="54" spans="1:8" ht="18.75" x14ac:dyDescent="0.25">
      <c r="A54" s="4">
        <v>51</v>
      </c>
      <c r="B54" s="5" t="s">
        <v>43</v>
      </c>
      <c r="C54" s="12">
        <v>7</v>
      </c>
      <c r="D54" s="12">
        <v>10</v>
      </c>
      <c r="E54" s="12">
        <v>2</v>
      </c>
      <c r="F54" s="6">
        <v>13</v>
      </c>
      <c r="G54" s="4">
        <f t="shared" si="2"/>
        <v>59.2</v>
      </c>
      <c r="H54" s="7">
        <f t="shared" si="3"/>
        <v>0.31322751322751324</v>
      </c>
    </row>
    <row r="55" spans="1:8" ht="18.75" x14ac:dyDescent="0.25">
      <c r="A55" s="8">
        <v>52</v>
      </c>
      <c r="B55" s="9" t="s">
        <v>56</v>
      </c>
      <c r="C55" s="12">
        <v>7</v>
      </c>
      <c r="D55" s="12">
        <v>11</v>
      </c>
      <c r="E55" s="12">
        <v>4</v>
      </c>
      <c r="F55" s="12">
        <v>3</v>
      </c>
      <c r="G55" s="4">
        <f t="shared" si="2"/>
        <v>52.499999999999993</v>
      </c>
      <c r="H55" s="7">
        <f t="shared" si="3"/>
        <v>0.27777777777777773</v>
      </c>
    </row>
    <row r="56" spans="1:8" ht="18.75" x14ac:dyDescent="0.25">
      <c r="A56" s="4">
        <v>53</v>
      </c>
      <c r="B56" s="9" t="s">
        <v>46</v>
      </c>
      <c r="C56" s="12">
        <v>5</v>
      </c>
      <c r="D56" s="12">
        <v>7</v>
      </c>
      <c r="E56" s="10">
        <v>8</v>
      </c>
      <c r="F56" s="10">
        <v>10</v>
      </c>
      <c r="G56" s="4">
        <f t="shared" si="2"/>
        <v>50</v>
      </c>
      <c r="H56" s="7">
        <f t="shared" si="3"/>
        <v>0.26455026455026454</v>
      </c>
    </row>
  </sheetData>
  <sortState ref="B4:H56">
    <sortCondition descending="1" ref="H4"/>
  </sortState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Natijalar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2026-03-11T03:46:43Z</dcterms:created>
  <dcterms:modified xsi:type="dcterms:W3CDTF">2026-03-11T07:28:01Z</dcterms:modified>
  <cp:category/>
</cp:coreProperties>
</file>