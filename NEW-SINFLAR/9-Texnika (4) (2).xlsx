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0736" windowHeight="903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G30" i="1"/>
  <c r="G12"/>
  <c r="G2"/>
  <c r="F5"/>
  <c r="G5" s="1"/>
  <c r="F3"/>
  <c r="G3" s="1"/>
  <c r="F10"/>
  <c r="G10" s="1"/>
  <c r="F36"/>
  <c r="G36" s="1"/>
  <c r="F20"/>
  <c r="G20" s="1"/>
  <c r="F37"/>
  <c r="G37" s="1"/>
  <c r="F4"/>
  <c r="G4" s="1"/>
  <c r="F22"/>
  <c r="G22" s="1"/>
  <c r="F38"/>
  <c r="G38" s="1"/>
  <c r="F9"/>
  <c r="G9" s="1"/>
  <c r="F11"/>
  <c r="G11" s="1"/>
  <c r="F19"/>
  <c r="G19" s="1"/>
  <c r="F30"/>
  <c r="F12"/>
  <c r="F23"/>
  <c r="G23" s="1"/>
  <c r="F34"/>
  <c r="G34" s="1"/>
  <c r="F28"/>
  <c r="G28" s="1"/>
  <c r="F24"/>
  <c r="G24" s="1"/>
  <c r="F21"/>
  <c r="G21" s="1"/>
  <c r="F26"/>
  <c r="G26" s="1"/>
  <c r="F29"/>
  <c r="G29" s="1"/>
  <c r="F7"/>
  <c r="G7" s="1"/>
  <c r="F15"/>
  <c r="G15" s="1"/>
  <c r="F8"/>
  <c r="G8" s="1"/>
  <c r="F17"/>
  <c r="G17" s="1"/>
  <c r="F33"/>
  <c r="G33" s="1"/>
  <c r="F13"/>
  <c r="G13" s="1"/>
  <c r="F35"/>
  <c r="G35" s="1"/>
  <c r="F6"/>
  <c r="G6" s="1"/>
  <c r="F18"/>
  <c r="G18" s="1"/>
  <c r="F32"/>
  <c r="G32" s="1"/>
  <c r="F31"/>
  <c r="G31" s="1"/>
  <c r="F16"/>
  <c r="G16" s="1"/>
  <c r="F27"/>
  <c r="G27" s="1"/>
  <c r="F14"/>
  <c r="G14" s="1"/>
  <c r="F25"/>
  <c r="G25" s="1"/>
  <c r="F2"/>
</calcChain>
</file>

<file path=xl/sharedStrings.xml><?xml version="1.0" encoding="utf-8"?>
<sst xmlns="http://schemas.openxmlformats.org/spreadsheetml/2006/main" count="44" uniqueCount="44">
  <si>
    <t>№</t>
  </si>
  <si>
    <t>Ism familiya</t>
  </si>
  <si>
    <t>Suvonov Sanjar</t>
  </si>
  <si>
    <t>To'raqulova To'maris</t>
  </si>
  <si>
    <t>G'iyozova Charosxon</t>
  </si>
  <si>
    <t>To'raqulov Humoyunbek</t>
  </si>
  <si>
    <t>Rustamova Sevinch</t>
  </si>
  <si>
    <t>Ikromov Azizbek</t>
  </si>
  <si>
    <t>Husenov Jasurbek</t>
  </si>
  <si>
    <t>Baxshullayev Nurbek</t>
  </si>
  <si>
    <t>Qiyomov Diyorbek</t>
  </si>
  <si>
    <t>Jumayev Mahmud</t>
  </si>
  <si>
    <t>Haydarova Laylo</t>
  </si>
  <si>
    <t>Akramov Mirshod</t>
  </si>
  <si>
    <t>Qiyomova Munisa</t>
  </si>
  <si>
    <t>G'ulomov Abdurahmon</t>
  </si>
  <si>
    <t>Qosimov Amirbek</t>
  </si>
  <si>
    <t>Farhodov Firdavs</t>
  </si>
  <si>
    <t>Maqsudov Amirjon</t>
  </si>
  <si>
    <t>Yaxyoyev Otabek</t>
  </si>
  <si>
    <t>Sohibov Halimjon</t>
  </si>
  <si>
    <t>Jumayev Sardor</t>
  </si>
  <si>
    <t>Rizayev Abduxoliq</t>
  </si>
  <si>
    <t>Nasriddinov Umidjon</t>
  </si>
  <si>
    <t>Fazliddinov Shukurjon</t>
  </si>
  <si>
    <t>Sunnatillayev Muhammadqodir</t>
  </si>
  <si>
    <t>Xayrullayev Fayoz</t>
  </si>
  <si>
    <t>Muhammadov Muhammadjon</t>
  </si>
  <si>
    <t>Negmurodov Azizbek</t>
  </si>
  <si>
    <t>Izzatillayev Sarvarbek</t>
  </si>
  <si>
    <t>Raupov Hikmatillo</t>
  </si>
  <si>
    <t>Elmurodov Elshodbek</t>
  </si>
  <si>
    <t>Nusratulloyev Navro'zbek</t>
  </si>
  <si>
    <t>Sulaymonov Azizbek</t>
  </si>
  <si>
    <t>Ilhomov Shamshodbek</t>
  </si>
  <si>
    <t>Sunnatov Suxrob</t>
  </si>
  <si>
    <t>Rahmonov Dilshodbek</t>
  </si>
  <si>
    <t>Rayhonov Bahron</t>
  </si>
  <si>
    <t>Xomitova Nigina</t>
  </si>
  <si>
    <t>Natijalar %</t>
  </si>
  <si>
    <t>Matematika 30</t>
  </si>
  <si>
    <t>Fizika 30</t>
  </si>
  <si>
    <t>Ona tili 30</t>
  </si>
  <si>
    <t>Natijalar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</si>
</sst>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2" fontId="2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topLeftCell="B1" zoomScale="115" zoomScaleNormal="115" workbookViewId="0">
      <selection activeCell="E42" sqref="E42"/>
    </sheetView>
  </sheetViews>
  <sheetFormatPr defaultColWidth="9.109375" defaultRowHeight="14.4"/>
  <cols>
    <col min="1" max="1" width="9.109375" style="6"/>
    <col min="2" max="2" width="47" style="6" customWidth="1"/>
    <col min="3" max="3" width="22.88671875" style="2" customWidth="1"/>
    <col min="4" max="4" width="21" style="7" customWidth="1"/>
    <col min="5" max="5" width="24.44140625" style="6" customWidth="1"/>
    <col min="6" max="6" width="21.33203125" style="6" customWidth="1"/>
    <col min="7" max="7" width="18" style="6" customWidth="1"/>
    <col min="8" max="8" width="16.5546875" style="6" customWidth="1"/>
    <col min="9" max="9" width="11.88671875" style="6" customWidth="1"/>
    <col min="10" max="16384" width="9.109375" style="6"/>
  </cols>
  <sheetData>
    <row r="1" spans="1:9" ht="25.8">
      <c r="A1" s="8" t="s">
        <v>0</v>
      </c>
      <c r="B1" s="9" t="s">
        <v>1</v>
      </c>
      <c r="C1" s="10" t="s">
        <v>40</v>
      </c>
      <c r="D1" s="5" t="s">
        <v>41</v>
      </c>
      <c r="E1" s="1" t="s">
        <v>42</v>
      </c>
      <c r="F1" s="1" t="s">
        <v>43</v>
      </c>
      <c r="G1" s="5" t="s">
        <v>39</v>
      </c>
      <c r="H1" s="1"/>
      <c r="I1" s="1"/>
    </row>
    <row r="2" spans="1:9" ht="18">
      <c r="A2" s="11">
        <v>1</v>
      </c>
      <c r="B2" s="12" t="s">
        <v>22</v>
      </c>
      <c r="C2" s="2">
        <v>28</v>
      </c>
      <c r="D2" s="4">
        <v>26</v>
      </c>
      <c r="E2" s="2">
        <v>6</v>
      </c>
      <c r="F2" s="4">
        <f>(C2*3.1+D2*2.1+E2*1.1)</f>
        <v>148</v>
      </c>
      <c r="G2" s="3">
        <f>F2/189</f>
        <v>0.78306878306878303</v>
      </c>
      <c r="H2" s="2"/>
      <c r="I2" s="3"/>
    </row>
    <row r="3" spans="1:9" ht="18">
      <c r="A3" s="11">
        <v>2</v>
      </c>
      <c r="B3" s="12" t="s">
        <v>18</v>
      </c>
      <c r="C3" s="2">
        <v>30</v>
      </c>
      <c r="D3" s="4">
        <v>22</v>
      </c>
      <c r="E3" s="2">
        <v>8</v>
      </c>
      <c r="F3" s="4">
        <f>(C3*3.1+D3*2.1+E3*1.1)</f>
        <v>148</v>
      </c>
      <c r="G3" s="3">
        <f>F3/189</f>
        <v>0.78306878306878303</v>
      </c>
      <c r="H3" s="2"/>
      <c r="I3" s="3"/>
    </row>
    <row r="4" spans="1:9" ht="18">
      <c r="A4" s="11">
        <v>3</v>
      </c>
      <c r="B4" s="12" t="s">
        <v>2</v>
      </c>
      <c r="C4" s="2">
        <v>28</v>
      </c>
      <c r="D4" s="4">
        <v>20</v>
      </c>
      <c r="E4" s="2">
        <v>10</v>
      </c>
      <c r="F4" s="4">
        <f>(C4*3.1+D4*2.1+E4*1.1)</f>
        <v>139.80000000000001</v>
      </c>
      <c r="G4" s="3">
        <f>F4/189</f>
        <v>0.73968253968253972</v>
      </c>
      <c r="H4" s="2"/>
      <c r="I4" s="3"/>
    </row>
    <row r="5" spans="1:9" ht="18">
      <c r="A5" s="11">
        <v>4</v>
      </c>
      <c r="B5" s="12" t="s">
        <v>3</v>
      </c>
      <c r="C5" s="2">
        <v>23</v>
      </c>
      <c r="D5" s="4">
        <v>22</v>
      </c>
      <c r="E5" s="2">
        <v>10</v>
      </c>
      <c r="F5" s="4">
        <f>(C5*3.1+D5*2.1+E5*1.1)</f>
        <v>128.5</v>
      </c>
      <c r="G5" s="3">
        <f>F5/189</f>
        <v>0.67989417989417988</v>
      </c>
      <c r="H5" s="2"/>
      <c r="I5" s="3"/>
    </row>
    <row r="6" spans="1:9" ht="18">
      <c r="A6" s="11">
        <v>5</v>
      </c>
      <c r="B6" s="12" t="s">
        <v>17</v>
      </c>
      <c r="C6" s="2">
        <v>25</v>
      </c>
      <c r="D6" s="4">
        <v>17</v>
      </c>
      <c r="E6" s="2">
        <v>9</v>
      </c>
      <c r="F6" s="4">
        <f>(C6*3.1+D6*2.1+E6*1.1)</f>
        <v>123.10000000000001</v>
      </c>
      <c r="G6" s="3">
        <f>F6/189</f>
        <v>0.65132275132275141</v>
      </c>
      <c r="H6" s="2"/>
      <c r="I6" s="3"/>
    </row>
    <row r="7" spans="1:9" ht="18">
      <c r="A7" s="11">
        <v>6</v>
      </c>
      <c r="B7" s="12" t="s">
        <v>8</v>
      </c>
      <c r="C7" s="2">
        <v>22</v>
      </c>
      <c r="D7" s="4">
        <v>18</v>
      </c>
      <c r="E7" s="2">
        <v>14</v>
      </c>
      <c r="F7" s="4">
        <f>(C7*3.1+D7*2.1+E7*1.1)</f>
        <v>121.4</v>
      </c>
      <c r="G7" s="3">
        <f>F7/189</f>
        <v>0.6423280423280423</v>
      </c>
      <c r="H7" s="2"/>
      <c r="I7" s="3"/>
    </row>
    <row r="8" spans="1:9" ht="18">
      <c r="A8" s="11">
        <v>7</v>
      </c>
      <c r="B8" s="12" t="s">
        <v>23</v>
      </c>
      <c r="C8" s="2">
        <v>18</v>
      </c>
      <c r="D8" s="4">
        <v>17</v>
      </c>
      <c r="E8" s="2">
        <v>27</v>
      </c>
      <c r="F8" s="4">
        <f>(C8*3.1+D8*2.1+E8*1.1)</f>
        <v>121.2</v>
      </c>
      <c r="G8" s="3">
        <f>F8/189</f>
        <v>0.64126984126984132</v>
      </c>
      <c r="H8" s="2"/>
      <c r="I8" s="3"/>
    </row>
    <row r="9" spans="1:9" ht="18">
      <c r="A9" s="11">
        <v>8</v>
      </c>
      <c r="B9" s="12" t="s">
        <v>11</v>
      </c>
      <c r="C9" s="2">
        <v>23</v>
      </c>
      <c r="D9" s="4">
        <v>17</v>
      </c>
      <c r="E9" s="2">
        <v>12</v>
      </c>
      <c r="F9" s="4">
        <f>(C9*3.1+D9*2.1+E9*1.1)</f>
        <v>120.2</v>
      </c>
      <c r="G9" s="3">
        <f>F9/189</f>
        <v>0.63597883597883598</v>
      </c>
      <c r="H9" s="2"/>
      <c r="I9" s="3"/>
    </row>
    <row r="10" spans="1:9" ht="18">
      <c r="A10" s="11">
        <v>9</v>
      </c>
      <c r="B10" s="12" t="s">
        <v>26</v>
      </c>
      <c r="C10" s="2">
        <v>25</v>
      </c>
      <c r="D10" s="4">
        <v>17</v>
      </c>
      <c r="E10" s="2">
        <v>6</v>
      </c>
      <c r="F10" s="4">
        <f>(C10*3.1+D10*2.1+E10*1.1)</f>
        <v>119.8</v>
      </c>
      <c r="G10" s="3">
        <f>F10/189</f>
        <v>0.63386243386243379</v>
      </c>
      <c r="H10" s="2"/>
      <c r="I10" s="3"/>
    </row>
    <row r="11" spans="1:9" ht="18">
      <c r="A11" s="11">
        <v>10</v>
      </c>
      <c r="B11" s="12" t="s">
        <v>38</v>
      </c>
      <c r="C11" s="2">
        <v>22</v>
      </c>
      <c r="D11" s="4">
        <v>17</v>
      </c>
      <c r="E11" s="2">
        <v>14</v>
      </c>
      <c r="F11" s="4">
        <f>(C11*3.1+D11*2.1+E11*1.1)</f>
        <v>119.30000000000001</v>
      </c>
      <c r="G11" s="3">
        <f>F11/189</f>
        <v>0.63121693121693123</v>
      </c>
      <c r="H11" s="2"/>
      <c r="I11" s="3"/>
    </row>
    <row r="12" spans="1:9" ht="18">
      <c r="A12" s="11">
        <v>11</v>
      </c>
      <c r="B12" s="12" t="s">
        <v>10</v>
      </c>
      <c r="C12" s="2">
        <v>22</v>
      </c>
      <c r="D12" s="4">
        <v>17</v>
      </c>
      <c r="E12" s="2">
        <v>12</v>
      </c>
      <c r="F12" s="4">
        <f>(C12*3.1+D12*2.1+E12*1.1)</f>
        <v>117.10000000000001</v>
      </c>
      <c r="G12" s="3">
        <f>F12/189</f>
        <v>0.61957671957671967</v>
      </c>
      <c r="H12" s="2"/>
      <c r="I12" s="3"/>
    </row>
    <row r="13" spans="1:9" ht="18">
      <c r="A13" s="11">
        <v>12</v>
      </c>
      <c r="B13" s="12" t="s">
        <v>9</v>
      </c>
      <c r="C13" s="2">
        <v>23</v>
      </c>
      <c r="D13" s="4">
        <v>16</v>
      </c>
      <c r="E13" s="2">
        <v>10</v>
      </c>
      <c r="F13" s="4">
        <f>(C13*3.1+D13*2.1+E13*1.1)</f>
        <v>115.9</v>
      </c>
      <c r="G13" s="3">
        <f>F13/189</f>
        <v>0.61322751322751323</v>
      </c>
      <c r="H13" s="2"/>
      <c r="I13" s="3"/>
    </row>
    <row r="14" spans="1:9" ht="18">
      <c r="A14" s="11">
        <v>13</v>
      </c>
      <c r="B14" s="12" t="s">
        <v>24</v>
      </c>
      <c r="C14" s="2">
        <v>20</v>
      </c>
      <c r="D14" s="4">
        <v>14</v>
      </c>
      <c r="E14" s="2">
        <v>18</v>
      </c>
      <c r="F14" s="4">
        <f>(C14*3.1+D14*2.1+E14*1.1)</f>
        <v>111.2</v>
      </c>
      <c r="G14" s="3">
        <f>F14/189</f>
        <v>0.58835978835978842</v>
      </c>
      <c r="H14" s="2"/>
      <c r="I14" s="3"/>
    </row>
    <row r="15" spans="1:9" ht="18">
      <c r="A15" s="11">
        <v>14</v>
      </c>
      <c r="B15" s="10" t="s">
        <v>33</v>
      </c>
      <c r="C15" s="2">
        <v>20</v>
      </c>
      <c r="D15" s="4">
        <v>15</v>
      </c>
      <c r="E15" s="2">
        <v>15</v>
      </c>
      <c r="F15" s="4">
        <f>(C15*3.1+D15*2.1+E15*1.1)</f>
        <v>110</v>
      </c>
      <c r="G15" s="3">
        <f>F15/189</f>
        <v>0.58201058201058198</v>
      </c>
      <c r="H15" s="2"/>
      <c r="I15" s="3"/>
    </row>
    <row r="16" spans="1:9" ht="18">
      <c r="A16" s="11">
        <v>15</v>
      </c>
      <c r="B16" s="12" t="s">
        <v>15</v>
      </c>
      <c r="C16" s="2">
        <v>21</v>
      </c>
      <c r="D16" s="4">
        <v>17</v>
      </c>
      <c r="E16" s="2">
        <v>8</v>
      </c>
      <c r="F16" s="4">
        <f>(C16*3.1+D16*2.1+E16*1.1)</f>
        <v>109.60000000000001</v>
      </c>
      <c r="G16" s="3">
        <f>F16/189</f>
        <v>0.57989417989417991</v>
      </c>
      <c r="H16" s="2"/>
      <c r="I16" s="3"/>
    </row>
    <row r="17" spans="1:9" ht="18">
      <c r="A17" s="11">
        <v>16</v>
      </c>
      <c r="B17" s="12" t="s">
        <v>7</v>
      </c>
      <c r="C17" s="2">
        <v>24</v>
      </c>
      <c r="D17" s="4">
        <v>13</v>
      </c>
      <c r="E17" s="2">
        <v>7</v>
      </c>
      <c r="F17" s="4">
        <f>(C17*3.1+D17*2.1+E17*1.1)</f>
        <v>109.4</v>
      </c>
      <c r="G17" s="3">
        <f>F17/189</f>
        <v>0.57883597883597881</v>
      </c>
      <c r="H17" s="2"/>
      <c r="I17" s="3"/>
    </row>
    <row r="18" spans="1:9" ht="18">
      <c r="A18" s="11">
        <v>17</v>
      </c>
      <c r="B18" s="12" t="s">
        <v>21</v>
      </c>
      <c r="C18" s="2">
        <v>22</v>
      </c>
      <c r="D18" s="4">
        <v>16</v>
      </c>
      <c r="E18" s="2">
        <v>6</v>
      </c>
      <c r="F18" s="4">
        <f>(C18*3.1+D18*2.1+E18*1.1)</f>
        <v>108.4</v>
      </c>
      <c r="G18" s="3">
        <f>F18/189</f>
        <v>0.57354497354497358</v>
      </c>
      <c r="H18" s="2"/>
      <c r="I18" s="3"/>
    </row>
    <row r="19" spans="1:9" ht="18">
      <c r="A19" s="11">
        <v>18</v>
      </c>
      <c r="B19" s="10" t="s">
        <v>34</v>
      </c>
      <c r="C19" s="2">
        <v>20</v>
      </c>
      <c r="D19" s="4">
        <v>17</v>
      </c>
      <c r="E19" s="2">
        <v>9</v>
      </c>
      <c r="F19" s="4">
        <f>(C19*3.1+D19*2.1+E19*1.1)</f>
        <v>107.60000000000001</v>
      </c>
      <c r="G19" s="3">
        <f>F19/189</f>
        <v>0.56931216931216932</v>
      </c>
      <c r="H19" s="2"/>
      <c r="I19" s="3"/>
    </row>
    <row r="20" spans="1:9" ht="18">
      <c r="A20" s="11">
        <v>19</v>
      </c>
      <c r="B20" s="12" t="s">
        <v>6</v>
      </c>
      <c r="C20" s="2">
        <v>20</v>
      </c>
      <c r="D20" s="4">
        <v>17</v>
      </c>
      <c r="E20" s="2">
        <v>8</v>
      </c>
      <c r="F20" s="4">
        <f>(C20*3.1+D20*2.1+E20*1.1)</f>
        <v>106.5</v>
      </c>
      <c r="G20" s="3">
        <f>F20/189</f>
        <v>0.56349206349206349</v>
      </c>
      <c r="H20" s="2"/>
      <c r="I20" s="3"/>
    </row>
    <row r="21" spans="1:9" ht="18">
      <c r="A21" s="11">
        <v>20</v>
      </c>
      <c r="B21" s="12" t="s">
        <v>5</v>
      </c>
      <c r="C21" s="2">
        <v>20</v>
      </c>
      <c r="D21" s="4">
        <v>13</v>
      </c>
      <c r="E21" s="2">
        <v>15</v>
      </c>
      <c r="F21" s="4">
        <f>(C21*3.1+D21*2.1+E21*1.1)</f>
        <v>105.8</v>
      </c>
      <c r="G21" s="3">
        <f>F21/189</f>
        <v>0.55978835978835972</v>
      </c>
      <c r="H21" s="2"/>
      <c r="I21" s="3"/>
    </row>
    <row r="22" spans="1:9" ht="18">
      <c r="A22" s="11">
        <v>21</v>
      </c>
      <c r="B22" s="10" t="s">
        <v>28</v>
      </c>
      <c r="C22" s="2">
        <v>18</v>
      </c>
      <c r="D22" s="4">
        <v>16</v>
      </c>
      <c r="E22" s="2">
        <v>11</v>
      </c>
      <c r="F22" s="4">
        <f>(C22*3.1+D22*2.1+E22*1.1)</f>
        <v>101.5</v>
      </c>
      <c r="G22" s="3">
        <f>F22/189</f>
        <v>0.53703703703703709</v>
      </c>
      <c r="H22" s="2"/>
      <c r="I22" s="3"/>
    </row>
    <row r="23" spans="1:9" ht="18">
      <c r="A23" s="11">
        <v>22</v>
      </c>
      <c r="B23" s="12" t="s">
        <v>16</v>
      </c>
      <c r="C23" s="2">
        <v>17</v>
      </c>
      <c r="D23" s="4">
        <v>17</v>
      </c>
      <c r="E23" s="2">
        <v>10</v>
      </c>
      <c r="F23" s="4">
        <f>(C23*3.1+D23*2.1+E23*1.1)</f>
        <v>99.4</v>
      </c>
      <c r="G23" s="3">
        <f>F23/189</f>
        <v>0.52592592592592591</v>
      </c>
      <c r="H23" s="2"/>
      <c r="I23" s="3"/>
    </row>
    <row r="24" spans="1:9" ht="18">
      <c r="A24" s="11">
        <v>23</v>
      </c>
      <c r="B24" s="10" t="s">
        <v>35</v>
      </c>
      <c r="C24" s="2">
        <v>16</v>
      </c>
      <c r="D24" s="4">
        <v>16</v>
      </c>
      <c r="E24" s="2">
        <v>10</v>
      </c>
      <c r="F24" s="4">
        <f>(C24*3.1+D24*2.1+E24*1.1)</f>
        <v>94.2</v>
      </c>
      <c r="G24" s="3">
        <f>F24/189</f>
        <v>0.49841269841269842</v>
      </c>
      <c r="H24" s="2"/>
      <c r="I24" s="3"/>
    </row>
    <row r="25" spans="1:9" ht="18">
      <c r="A25" s="11">
        <v>24</v>
      </c>
      <c r="B25" s="12" t="s">
        <v>12</v>
      </c>
      <c r="C25" s="2">
        <v>17</v>
      </c>
      <c r="D25" s="4">
        <v>13</v>
      </c>
      <c r="E25" s="2">
        <v>9</v>
      </c>
      <c r="F25" s="4">
        <f>(C25*3.1+D25*2.1+E25*1.1)</f>
        <v>89.9</v>
      </c>
      <c r="G25" s="3">
        <f>F25/189</f>
        <v>0.47566137566137567</v>
      </c>
      <c r="H25" s="2"/>
      <c r="I25" s="3"/>
    </row>
    <row r="26" spans="1:9" ht="18">
      <c r="A26" s="11">
        <v>25</v>
      </c>
      <c r="B26" s="10" t="s">
        <v>31</v>
      </c>
      <c r="C26" s="2">
        <v>15</v>
      </c>
      <c r="D26" s="4">
        <v>14</v>
      </c>
      <c r="E26" s="2">
        <v>12</v>
      </c>
      <c r="F26" s="4">
        <f>(C26*3.1+D26*2.1+E26*1.1)</f>
        <v>89.100000000000009</v>
      </c>
      <c r="G26" s="3">
        <f>F26/189</f>
        <v>0.47142857142857147</v>
      </c>
      <c r="H26" s="2"/>
      <c r="I26" s="3"/>
    </row>
    <row r="27" spans="1:9" ht="18">
      <c r="A27" s="11">
        <v>26</v>
      </c>
      <c r="B27" s="10" t="s">
        <v>29</v>
      </c>
      <c r="C27" s="2">
        <v>18</v>
      </c>
      <c r="D27" s="4">
        <v>12</v>
      </c>
      <c r="E27" s="2">
        <v>7</v>
      </c>
      <c r="F27" s="4">
        <f>(C27*3.1+D27*2.1+E27*1.1)</f>
        <v>88.7</v>
      </c>
      <c r="G27" s="3">
        <f>F27/189</f>
        <v>0.46931216931216935</v>
      </c>
      <c r="H27" s="2"/>
      <c r="I27" s="3"/>
    </row>
    <row r="28" spans="1:9" ht="18">
      <c r="A28" s="11">
        <v>27</v>
      </c>
      <c r="B28" s="10" t="s">
        <v>27</v>
      </c>
      <c r="C28" s="2">
        <v>14</v>
      </c>
      <c r="D28" s="4">
        <v>16</v>
      </c>
      <c r="E28" s="2">
        <v>8</v>
      </c>
      <c r="F28" s="4">
        <f>(C28*3.1+D28*2.1+E28*1.1)</f>
        <v>85.8</v>
      </c>
      <c r="G28" s="3">
        <f>F28/189</f>
        <v>0.45396825396825397</v>
      </c>
      <c r="H28" s="2"/>
      <c r="I28" s="3"/>
    </row>
    <row r="29" spans="1:9" ht="18">
      <c r="A29" s="11">
        <v>28</v>
      </c>
      <c r="B29" s="10" t="s">
        <v>36</v>
      </c>
      <c r="C29" s="2">
        <v>13</v>
      </c>
      <c r="D29" s="4">
        <v>17</v>
      </c>
      <c r="E29" s="2">
        <v>8</v>
      </c>
      <c r="F29" s="4">
        <f>(C29*3.1+D29*2.1+E29*1.1)</f>
        <v>84.8</v>
      </c>
      <c r="G29" s="3">
        <f>F29/189</f>
        <v>0.44867724867724867</v>
      </c>
      <c r="H29" s="2"/>
      <c r="I29" s="3"/>
    </row>
    <row r="30" spans="1:9" ht="18">
      <c r="A30" s="11">
        <v>29</v>
      </c>
      <c r="B30" s="12" t="s">
        <v>4</v>
      </c>
      <c r="C30" s="2">
        <v>16</v>
      </c>
      <c r="D30" s="4">
        <v>11</v>
      </c>
      <c r="E30" s="2">
        <v>10</v>
      </c>
      <c r="F30" s="4">
        <f>(C30*3.1+D30*2.1+E30*1.1)</f>
        <v>83.7</v>
      </c>
      <c r="G30" s="3">
        <f>F30/189</f>
        <v>0.44285714285714289</v>
      </c>
      <c r="H30" s="2"/>
      <c r="I30" s="3"/>
    </row>
    <row r="31" spans="1:9" ht="18">
      <c r="A31" s="11">
        <v>30</v>
      </c>
      <c r="B31" s="10" t="s">
        <v>37</v>
      </c>
      <c r="C31" s="2">
        <v>13</v>
      </c>
      <c r="D31" s="4">
        <v>12</v>
      </c>
      <c r="E31" s="2">
        <v>9</v>
      </c>
      <c r="F31" s="4">
        <f>(C31*3.1+D31*2.1+E31*1.1)</f>
        <v>75.400000000000006</v>
      </c>
      <c r="G31" s="3">
        <f>F31/189</f>
        <v>0.39894179894179899</v>
      </c>
      <c r="H31" s="2"/>
      <c r="I31" s="3"/>
    </row>
    <row r="32" spans="1:9" ht="18">
      <c r="A32" s="11">
        <v>31</v>
      </c>
      <c r="B32" s="10" t="s">
        <v>30</v>
      </c>
      <c r="C32" s="2">
        <v>17</v>
      </c>
      <c r="D32" s="4">
        <v>9</v>
      </c>
      <c r="E32" s="2">
        <v>3</v>
      </c>
      <c r="F32" s="4">
        <f>(C32*3.1+D32*2.1+E32*1.1)</f>
        <v>74.900000000000006</v>
      </c>
      <c r="G32" s="3">
        <f>F32/189</f>
        <v>0.39629629629629631</v>
      </c>
      <c r="H32" s="2"/>
      <c r="I32" s="3"/>
    </row>
    <row r="33" spans="1:9" ht="18">
      <c r="A33" s="11">
        <v>32</v>
      </c>
      <c r="B33" s="10" t="s">
        <v>32</v>
      </c>
      <c r="C33" s="2">
        <v>10</v>
      </c>
      <c r="D33" s="4">
        <v>13</v>
      </c>
      <c r="E33" s="2">
        <v>12</v>
      </c>
      <c r="F33" s="4">
        <f>(C33*3.1+D33*2.1+E33*1.1)</f>
        <v>71.5</v>
      </c>
      <c r="G33" s="3">
        <f>F33/189</f>
        <v>0.37830687830687831</v>
      </c>
      <c r="H33" s="2"/>
      <c r="I33" s="3"/>
    </row>
    <row r="34" spans="1:9" ht="18">
      <c r="A34" s="11">
        <v>33</v>
      </c>
      <c r="B34" s="12" t="s">
        <v>14</v>
      </c>
      <c r="C34" s="2">
        <v>12</v>
      </c>
      <c r="D34" s="4">
        <v>12</v>
      </c>
      <c r="E34" s="2">
        <v>7</v>
      </c>
      <c r="F34" s="4">
        <f>(C34*3.1+D34*2.1+E34*1.1)</f>
        <v>70.100000000000009</v>
      </c>
      <c r="G34" s="3">
        <f>F34/189</f>
        <v>0.37089947089947095</v>
      </c>
      <c r="H34" s="2"/>
      <c r="I34" s="3"/>
    </row>
    <row r="35" spans="1:9" ht="18">
      <c r="A35" s="11">
        <v>34</v>
      </c>
      <c r="B35" s="12" t="s">
        <v>13</v>
      </c>
      <c r="C35" s="2">
        <v>12</v>
      </c>
      <c r="D35" s="4">
        <v>8</v>
      </c>
      <c r="E35" s="2">
        <v>8</v>
      </c>
      <c r="F35" s="4">
        <f>(C35*3.1+D35*2.1+E35*1.1)</f>
        <v>62.8</v>
      </c>
      <c r="G35" s="3">
        <f>F35/189</f>
        <v>0.33227513227513228</v>
      </c>
      <c r="H35" s="2"/>
      <c r="I35" s="3"/>
    </row>
    <row r="36" spans="1:9" ht="18">
      <c r="A36" s="11">
        <v>35</v>
      </c>
      <c r="B36" s="12" t="s">
        <v>25</v>
      </c>
      <c r="C36" s="2">
        <v>0</v>
      </c>
      <c r="D36" s="4">
        <v>0</v>
      </c>
      <c r="E36" s="2">
        <v>0</v>
      </c>
      <c r="F36" s="4">
        <f>(C36*3.1+D36*2.1+E36*1.1)</f>
        <v>0</v>
      </c>
      <c r="G36" s="3">
        <f>F36/189</f>
        <v>0</v>
      </c>
      <c r="H36" s="2"/>
      <c r="I36" s="3"/>
    </row>
    <row r="37" spans="1:9" ht="18">
      <c r="A37" s="11">
        <v>36</v>
      </c>
      <c r="B37" s="12" t="s">
        <v>19</v>
      </c>
      <c r="C37" s="2">
        <v>0</v>
      </c>
      <c r="D37" s="4">
        <v>0</v>
      </c>
      <c r="E37" s="2">
        <v>0</v>
      </c>
      <c r="F37" s="4">
        <f>(C37*3.1+D37*2.1+E37*1.1)</f>
        <v>0</v>
      </c>
      <c r="G37" s="3">
        <f>F37/189</f>
        <v>0</v>
      </c>
      <c r="H37" s="2"/>
      <c r="I37" s="3"/>
    </row>
    <row r="38" spans="1:9" ht="18">
      <c r="A38" s="11">
        <v>37</v>
      </c>
      <c r="B38" s="12" t="s">
        <v>20</v>
      </c>
      <c r="C38" s="2">
        <v>0</v>
      </c>
      <c r="D38" s="4">
        <v>0</v>
      </c>
      <c r="E38" s="2">
        <v>0</v>
      </c>
      <c r="F38" s="4">
        <f>(C38*3.1+D38*2.1+E38*1.1)</f>
        <v>0</v>
      </c>
      <c r="G38" s="3">
        <f>F38/189</f>
        <v>0</v>
      </c>
      <c r="H38" s="2"/>
      <c r="I38" s="3"/>
    </row>
    <row r="39" spans="1:9">
      <c r="E39" s="2"/>
      <c r="F39" s="4"/>
      <c r="G39" s="3"/>
      <c r="H39" s="2"/>
      <c r="I39" s="3"/>
    </row>
    <row r="40" spans="1:9">
      <c r="F40" s="2"/>
    </row>
  </sheetData>
  <sortState ref="B2:G38">
    <sortCondition descending="1" ref="G2:G3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2025-10-14T06:43:05Z</dcterms:created>
  <dcterms:modified xsi:type="dcterms:W3CDTF">2026-03-06T03:18:45Z</dcterms:modified>
</cp:coreProperties>
</file>