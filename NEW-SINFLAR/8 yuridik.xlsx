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filterPrivacy="1" defaultThemeVersion="164011"/>
  <bookViews>
    <workbookView xWindow="0" yWindow="0" windowWidth="20460" windowHeight="7740"/>
  </bookViews>
  <sheets>
    <sheet name="Natijalar" sheetId="1" r:id="rId1"/>
  </sheets>
  <calcPr calcId="162913"/>
</workbook>
</file>

<file path=xl/calcChain.xml><?xml version="1.0" encoding="utf-8"?>
<calcChain xmlns="http://schemas.openxmlformats.org/spreadsheetml/2006/main">
  <c r="G22" i="1" l="1"/>
  <c r="H22" i="1" s="1"/>
  <c r="G17" i="1"/>
  <c r="H17" i="1" s="1"/>
  <c r="G6" i="1"/>
  <c r="H6" i="1" s="1"/>
  <c r="G24" i="1"/>
  <c r="H24" i="1" s="1"/>
  <c r="G10" i="1"/>
  <c r="H10" i="1" s="1"/>
  <c r="G16" i="1"/>
  <c r="H16" i="1" s="1"/>
  <c r="G7" i="1"/>
  <c r="H7" i="1" s="1"/>
  <c r="G9" i="1"/>
  <c r="H9" i="1" s="1"/>
  <c r="G14" i="1"/>
  <c r="H14" i="1" s="1"/>
  <c r="G13" i="1"/>
  <c r="H13" i="1" s="1"/>
  <c r="G4" i="1"/>
  <c r="H4" i="1" s="1"/>
  <c r="G5" i="1"/>
  <c r="H5" i="1" s="1"/>
  <c r="G27" i="1"/>
  <c r="H27" i="1" s="1"/>
  <c r="G26" i="1"/>
  <c r="H26" i="1" s="1"/>
  <c r="G23" i="1"/>
  <c r="H23" i="1" s="1"/>
  <c r="G19" i="1"/>
  <c r="H19" i="1" s="1"/>
  <c r="G20" i="1"/>
  <c r="H20" i="1" s="1"/>
  <c r="G11" i="1"/>
  <c r="H11" i="1" s="1"/>
  <c r="G21" i="1"/>
  <c r="H21" i="1" s="1"/>
  <c r="G15" i="1"/>
  <c r="H15" i="1" s="1"/>
  <c r="G18" i="1"/>
  <c r="H18" i="1" s="1"/>
  <c r="G12" i="1"/>
  <c r="H12" i="1" s="1"/>
  <c r="G8" i="1"/>
  <c r="H8" i="1" s="1"/>
  <c r="G25" i="1"/>
  <c r="H25" i="1" s="1"/>
</calcChain>
</file>

<file path=xl/sharedStrings.xml><?xml version="1.0" encoding="utf-8"?>
<sst xmlns="http://schemas.openxmlformats.org/spreadsheetml/2006/main" count="39" uniqueCount="35">
  <si>
    <t>Blok test natijalar — 8-sinf | 8 Yuridik | 2/2026</t>
  </si>
  <si>
    <t>O'quvchilar: 25 | Fanlar: 4 | Jami savollar: 90</t>
  </si>
  <si>
    <t>№</t>
  </si>
  <si>
    <t>F.I.O</t>
  </si>
  <si>
    <t>Huquqshunoslik
(30 ta)</t>
  </si>
  <si>
    <t>Ingliz tili
(30 ta)</t>
  </si>
  <si>
    <t>Ona tili va adabiyot
(15 ta)</t>
  </si>
  <si>
    <t>Tarix
(15 ta)</t>
  </si>
  <si>
    <t>Jami ball</t>
  </si>
  <si>
    <t>Foiz (%)</t>
  </si>
  <si>
    <t>Abdinabiyev Bekzod</t>
  </si>
  <si>
    <t>Abdurasulov Azizbek</t>
  </si>
  <si>
    <t>Berdiyorov Xudoyorxon</t>
  </si>
  <si>
    <t>Ibragimov Diyorbek</t>
  </si>
  <si>
    <t>Ikromova Donoxon</t>
  </si>
  <si>
    <t>Ismoilova Shabbona</t>
  </si>
  <si>
    <t>Izzatullayev Temur</t>
  </si>
  <si>
    <t>Jahonqulova Vazira</t>
  </si>
  <si>
    <t>Kamolov Samir</t>
  </si>
  <si>
    <t>Luqmonova Malika</t>
  </si>
  <si>
    <t>Maxmudov Bobur</t>
  </si>
  <si>
    <t>Mehmonov Behruz</t>
  </si>
  <si>
    <t>Mo`minov Bahrom</t>
  </si>
  <si>
    <t>Negmurodov Farhod</t>
  </si>
  <si>
    <t>Nurmurodov Shohijahon</t>
  </si>
  <si>
    <t>Ravshanov shohjahon</t>
  </si>
  <si>
    <t>Raxmonova Maftuna</t>
  </si>
  <si>
    <t>Sadullayev Samir</t>
  </si>
  <si>
    <t>Safarov Hamid</t>
  </si>
  <si>
    <t>Sharipov Hasan</t>
  </si>
  <si>
    <t>Sharipov Husan</t>
  </si>
  <si>
    <t>Sharofiddinova Dilnoza</t>
  </si>
  <si>
    <t>Sulaymonov Mironshox</t>
  </si>
  <si>
    <t>Ziyodullayeva Durdona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</si>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</sst>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 x14ac:knownFonts="1">
    <font>
      <sz val="11"/>
      <color theme="1"/>
      <name val="Calibri"/>
      <family val="2"/>
      <scheme val="minor"/>
    </font>
    <font>
      <b/>
      <sz val="10"/>
      <name val="Calibri"/>
    </font>
    <font>
      <sz val="10"/>
      <name val="Calibri"/>
    </font>
    <font>
      <b/>
      <sz val="11"/>
      <name val="Calibri"/>
    </font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  <charset val="204"/>
    </font>
    <font>
      <b/>
      <sz val="14"/>
      <name val="Calibri"/>
      <family val="2"/>
      <charset val="204"/>
    </font>
    <font>
      <sz val="14"/>
      <name val="Calibri"/>
      <family val="2"/>
      <charset val="204"/>
    </font>
    <font>
      <sz val="14"/>
      <color rgb="FF991B1B"/>
      <name val="Calibri"/>
      <family val="2"/>
      <charset val="204"/>
    </font>
    <font>
      <b/>
      <sz val="14"/>
      <color rgb="FF991B1B"/>
      <name val="Calibri"/>
      <family val="2"/>
      <charset val="204"/>
    </font>
    <font>
      <sz val="14"/>
      <color rgb="FF166534"/>
      <name val="Calibri"/>
      <family val="2"/>
      <charset val="204"/>
    </font>
    <font>
      <sz val="14"/>
      <color theme="1"/>
      <name val="Calibri"/>
      <family val="2"/>
      <charset val="204"/>
      <scheme val="minor"/>
    </font>
  </fonts>
  <fills count="8">
    <fill>
      <patternFill patternType="none"/>
    </fill>
    <fill>
      <patternFill patternType="gray125"/>
    </fill>
    <fill>
      <patternFill patternType="solid">
        <fgColor rgb="FF4338CA"/>
      </patternFill>
    </fill>
    <fill>
      <patternFill patternType="solid">
        <fgColor rgb="FF6366F1"/>
      </patternFill>
    </fill>
    <fill>
      <patternFill patternType="solid">
        <fgColor rgb="FFEEF2FF"/>
      </patternFill>
    </fill>
    <fill>
      <patternFill patternType="solid">
        <fgColor rgb="FFFEE2E2"/>
      </patternFill>
    </fill>
    <fill>
      <patternFill patternType="solid">
        <fgColor rgb="FFFFFFFF"/>
      </patternFill>
    </fill>
    <fill>
      <patternFill patternType="solid">
        <fgColor rgb="FFDCFCE7"/>
      </patternFill>
    </fill>
  </fills>
  <borders count="2">
    <border>
      <left/>
      <right/>
      <top/>
      <bottom/>
      <diagonal/>
    </border>
    <border>
      <left style="thin">
        <color rgb="FFC7D2FE"/>
      </left>
      <right style="thin">
        <color rgb="FFC7D2FE"/>
      </right>
      <top style="thin">
        <color rgb="FFC7D2FE"/>
      </top>
      <bottom style="thin">
        <color rgb="FFC7D2FE"/>
      </bottom>
      <diagonal/>
    </border>
  </borders>
  <cellStyleXfs count="2">
    <xf numFmtId="0" fontId="0" fillId="0" borderId="0"/>
    <xf numFmtId="9" fontId="4" fillId="0" borderId="0" applyFont="0" applyFill="0" applyBorder="0" applyAlignment="0" applyProtection="0"/>
  </cellStyleXfs>
  <cellXfs count="17">
    <xf numFmtId="0" fontId="0" fillId="0" borderId="0" xfId="0"/>
    <xf numFmtId="0" fontId="3" fillId="0" borderId="0" xfId="0" applyFont="1"/>
    <xf numFmtId="0" fontId="1" fillId="0" borderId="1" xfId="0" applyFont="1" applyBorder="1"/>
    <xf numFmtId="0" fontId="2" fillId="0" borderId="1" xfId="0" applyFont="1" applyBorder="1"/>
    <xf numFmtId="0" fontId="5" fillId="2" borderId="0" xfId="0" applyFont="1" applyFill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vertical="center"/>
    </xf>
    <xf numFmtId="0" fontId="7" fillId="4" borderId="1" xfId="0" applyFont="1" applyFill="1" applyBorder="1" applyAlignment="1">
      <alignment horizontal="center" vertical="center"/>
    </xf>
    <xf numFmtId="0" fontId="8" fillId="5" borderId="1" xfId="0" applyFont="1" applyFill="1" applyBorder="1" applyAlignment="1">
      <alignment horizontal="center" vertical="center"/>
    </xf>
    <xf numFmtId="10" fontId="9" fillId="5" borderId="1" xfId="1" applyNumberFormat="1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0" fontId="10" fillId="7" borderId="1" xfId="0" applyFont="1" applyFill="1" applyBorder="1" applyAlignment="1">
      <alignment horizontal="center" vertical="center"/>
    </xf>
    <xf numFmtId="0" fontId="7" fillId="6" borderId="1" xfId="0" applyFont="1" applyFill="1" applyBorder="1" applyAlignment="1">
      <alignment vertical="center"/>
    </xf>
    <xf numFmtId="0" fontId="7" fillId="6" borderId="1" xfId="0" applyFont="1" applyFill="1" applyBorder="1" applyAlignment="1">
      <alignment horizontal="center" vertical="center"/>
    </xf>
    <xf numFmtId="0" fontId="11" fillId="0" borderId="0" xfId="0" applyFont="1"/>
  </cellXfs>
  <cellStyles count="2">
    <cellStyle name="Обычный" xfId="0" builtinId="0"/>
    <cellStyle name="Процентный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4"/>
  <sheetViews>
    <sheetView tabSelected="1" workbookViewId="0">
      <selection activeCell="J7" sqref="J7"/>
    </sheetView>
  </sheetViews>
  <sheetFormatPr defaultRowHeight="15" x14ac:dyDescent="0.25"/>
  <cols>
    <col min="1" max="1" width="5" customWidth="1"/>
    <col min="2" max="2" width="32" customWidth="1"/>
    <col min="3" max="6" width="18" customWidth="1"/>
    <col min="7" max="7" width="14" customWidth="1"/>
    <col min="8" max="8" width="12" customWidth="1"/>
  </cols>
  <sheetData>
    <row r="1" spans="1:8" ht="36" customHeight="1" x14ac:dyDescent="0.25">
      <c r="A1" s="4" t="s">
        <v>0</v>
      </c>
      <c r="B1" s="4"/>
      <c r="C1" s="4"/>
      <c r="D1" s="4"/>
      <c r="E1" s="4"/>
      <c r="F1" s="4"/>
      <c r="G1" s="4"/>
      <c r="H1" s="4"/>
    </row>
    <row r="2" spans="1:8" ht="24" customHeight="1" x14ac:dyDescent="0.25">
      <c r="A2" s="5" t="s">
        <v>1</v>
      </c>
      <c r="B2" s="5"/>
      <c r="C2" s="5"/>
      <c r="D2" s="5"/>
      <c r="E2" s="5"/>
      <c r="F2" s="5"/>
      <c r="G2" s="5"/>
      <c r="H2" s="5"/>
    </row>
    <row r="3" spans="1:8" ht="56.25" x14ac:dyDescent="0.25">
      <c r="A3" s="6" t="s">
        <v>2</v>
      </c>
      <c r="B3" s="6" t="s">
        <v>3</v>
      </c>
      <c r="C3" s="6" t="s">
        <v>4</v>
      </c>
      <c r="D3" s="6" t="s">
        <v>5</v>
      </c>
      <c r="E3" s="6" t="s">
        <v>6</v>
      </c>
      <c r="F3" s="6" t="s">
        <v>7</v>
      </c>
      <c r="G3" s="6" t="s">
        <v>8</v>
      </c>
      <c r="H3" s="6" t="s">
        <v>9</v>
      </c>
    </row>
    <row r="4" spans="1:8" ht="24" customHeight="1" x14ac:dyDescent="0.25">
      <c r="A4" s="7">
        <v>1</v>
      </c>
      <c r="B4" s="8" t="s">
        <v>21</v>
      </c>
      <c r="C4" s="13">
        <v>27</v>
      </c>
      <c r="D4" s="13">
        <v>28</v>
      </c>
      <c r="E4" s="9">
        <v>9</v>
      </c>
      <c r="F4" s="9">
        <v>10</v>
      </c>
      <c r="G4" s="7">
        <f>F4*1.1+E4*1.1+D4*2.1+C4*3.1</f>
        <v>163.4</v>
      </c>
      <c r="H4" s="11">
        <f>G4/189</f>
        <v>0.86455026455026462</v>
      </c>
    </row>
    <row r="5" spans="1:8" ht="24" customHeight="1" x14ac:dyDescent="0.25">
      <c r="A5" s="12">
        <v>2</v>
      </c>
      <c r="B5" s="14" t="s">
        <v>22</v>
      </c>
      <c r="C5" s="13">
        <v>26</v>
      </c>
      <c r="D5" s="13">
        <v>24</v>
      </c>
      <c r="E5" s="13">
        <v>11</v>
      </c>
      <c r="F5" s="13">
        <v>11</v>
      </c>
      <c r="G5" s="7">
        <f>F5*1.1+E5*1.1+D5*2.1+C5*3.1</f>
        <v>155.20000000000002</v>
      </c>
      <c r="H5" s="11">
        <f>G5/189</f>
        <v>0.82116402116402121</v>
      </c>
    </row>
    <row r="6" spans="1:8" ht="24" customHeight="1" x14ac:dyDescent="0.25">
      <c r="A6" s="7">
        <v>3</v>
      </c>
      <c r="B6" s="8" t="s">
        <v>13</v>
      </c>
      <c r="C6" s="13">
        <v>24</v>
      </c>
      <c r="D6" s="13">
        <v>26</v>
      </c>
      <c r="E6" s="9">
        <v>9</v>
      </c>
      <c r="F6" s="9">
        <v>8</v>
      </c>
      <c r="G6" s="7">
        <f>F6*1.1+E6*1.1+D6*2.1+C6*3.1</f>
        <v>147.70000000000002</v>
      </c>
      <c r="H6" s="11">
        <f>G6/189</f>
        <v>0.78148148148148155</v>
      </c>
    </row>
    <row r="7" spans="1:8" ht="24" customHeight="1" x14ac:dyDescent="0.25">
      <c r="A7" s="12">
        <v>4</v>
      </c>
      <c r="B7" s="8" t="s">
        <v>17</v>
      </c>
      <c r="C7" s="13">
        <v>25</v>
      </c>
      <c r="D7" s="13">
        <v>23</v>
      </c>
      <c r="E7" s="9">
        <v>8</v>
      </c>
      <c r="F7" s="13">
        <v>11</v>
      </c>
      <c r="G7" s="7">
        <f>F7*1.1+E7*1.1+D7*2.1+C7*3.1</f>
        <v>146.69999999999999</v>
      </c>
      <c r="H7" s="11">
        <f>G7/189</f>
        <v>0.7761904761904761</v>
      </c>
    </row>
    <row r="8" spans="1:8" ht="24" customHeight="1" x14ac:dyDescent="0.25">
      <c r="A8" s="7">
        <v>5</v>
      </c>
      <c r="B8" s="8" t="s">
        <v>33</v>
      </c>
      <c r="C8" s="13">
        <v>23</v>
      </c>
      <c r="D8" s="13">
        <v>27</v>
      </c>
      <c r="E8" s="9">
        <v>7</v>
      </c>
      <c r="F8" s="9">
        <v>8</v>
      </c>
      <c r="G8" s="7">
        <f>F8*1.1+E8*1.1+D8*2.1+C8*3.1</f>
        <v>144.5</v>
      </c>
      <c r="H8" s="11">
        <f>G8/189</f>
        <v>0.76455026455026454</v>
      </c>
    </row>
    <row r="9" spans="1:8" ht="24" customHeight="1" x14ac:dyDescent="0.25">
      <c r="A9" s="12">
        <v>6</v>
      </c>
      <c r="B9" s="14" t="s">
        <v>18</v>
      </c>
      <c r="C9" s="13">
        <v>23</v>
      </c>
      <c r="D9" s="13">
        <v>25</v>
      </c>
      <c r="E9" s="15">
        <v>7</v>
      </c>
      <c r="F9" s="15">
        <v>9</v>
      </c>
      <c r="G9" s="7">
        <f>F9*1.1+E9*1.1+D9*2.1+C9*3.1</f>
        <v>141.39999999999998</v>
      </c>
      <c r="H9" s="11">
        <f>G9/189</f>
        <v>0.74814814814814801</v>
      </c>
    </row>
    <row r="10" spans="1:8" ht="24" customHeight="1" x14ac:dyDescent="0.25">
      <c r="A10" s="7">
        <v>7</v>
      </c>
      <c r="B10" s="8" t="s">
        <v>15</v>
      </c>
      <c r="C10" s="13">
        <v>22</v>
      </c>
      <c r="D10" s="9">
        <v>18</v>
      </c>
      <c r="E10" s="13">
        <v>11</v>
      </c>
      <c r="F10" s="9">
        <v>8</v>
      </c>
      <c r="G10" s="7">
        <f>F10*1.1+E10*1.1+D10*2.1+C10*3.1</f>
        <v>126.9</v>
      </c>
      <c r="H10" s="11">
        <f>G10/189</f>
        <v>0.67142857142857149</v>
      </c>
    </row>
    <row r="11" spans="1:8" ht="24" customHeight="1" x14ac:dyDescent="0.25">
      <c r="A11" s="12">
        <v>8</v>
      </c>
      <c r="B11" s="14" t="s">
        <v>28</v>
      </c>
      <c r="C11" s="13">
        <v>22</v>
      </c>
      <c r="D11" s="15">
        <v>18</v>
      </c>
      <c r="E11" s="15">
        <v>6</v>
      </c>
      <c r="F11" s="13">
        <v>11</v>
      </c>
      <c r="G11" s="7">
        <f>F11*1.1+E11*1.1+D11*2.1+C11*3.1</f>
        <v>124.70000000000002</v>
      </c>
      <c r="H11" s="11">
        <f>G11/189</f>
        <v>0.65978835978835992</v>
      </c>
    </row>
    <row r="12" spans="1:8" ht="24" customHeight="1" x14ac:dyDescent="0.25">
      <c r="A12" s="7">
        <v>9</v>
      </c>
      <c r="B12" s="14" t="s">
        <v>32</v>
      </c>
      <c r="C12" s="15">
        <v>18</v>
      </c>
      <c r="D12" s="15">
        <v>20</v>
      </c>
      <c r="E12" s="13">
        <v>11</v>
      </c>
      <c r="F12" s="15">
        <v>8</v>
      </c>
      <c r="G12" s="7">
        <f>F12*1.1+E12*1.1+D12*2.1+C12*3.1</f>
        <v>118.70000000000002</v>
      </c>
      <c r="H12" s="11">
        <f>G12/189</f>
        <v>0.62804232804232818</v>
      </c>
    </row>
    <row r="13" spans="1:8" ht="24" customHeight="1" x14ac:dyDescent="0.25">
      <c r="A13" s="12">
        <v>10</v>
      </c>
      <c r="B13" s="14" t="s">
        <v>20</v>
      </c>
      <c r="C13" s="15">
        <v>19</v>
      </c>
      <c r="D13" s="13">
        <v>22</v>
      </c>
      <c r="E13" s="15">
        <v>8</v>
      </c>
      <c r="F13" s="10">
        <v>2</v>
      </c>
      <c r="G13" s="7">
        <f>F13*1.1+E13*1.1+D13*2.1+C13*3.1</f>
        <v>116.1</v>
      </c>
      <c r="H13" s="11">
        <f>G13/189</f>
        <v>0.61428571428571421</v>
      </c>
    </row>
    <row r="14" spans="1:8" ht="24" customHeight="1" x14ac:dyDescent="0.25">
      <c r="A14" s="7">
        <v>11</v>
      </c>
      <c r="B14" s="8" t="s">
        <v>19</v>
      </c>
      <c r="C14" s="9">
        <v>16</v>
      </c>
      <c r="D14" s="13">
        <v>25</v>
      </c>
      <c r="E14" s="10">
        <v>4</v>
      </c>
      <c r="F14" s="9">
        <v>8</v>
      </c>
      <c r="G14" s="7">
        <f>F14*1.1+E14*1.1+D14*2.1+C14*3.1</f>
        <v>115.30000000000001</v>
      </c>
      <c r="H14" s="11">
        <f>G14/189</f>
        <v>0.61005291005291007</v>
      </c>
    </row>
    <row r="15" spans="1:8" ht="24" customHeight="1" x14ac:dyDescent="0.25">
      <c r="A15" s="12">
        <v>12</v>
      </c>
      <c r="B15" s="14" t="s">
        <v>30</v>
      </c>
      <c r="C15" s="15">
        <v>17</v>
      </c>
      <c r="D15" s="13">
        <v>24</v>
      </c>
      <c r="E15" s="10">
        <v>4</v>
      </c>
      <c r="F15" s="15">
        <v>7</v>
      </c>
      <c r="G15" s="7">
        <f>F15*1.1+E15*1.1+D15*2.1+C15*3.1</f>
        <v>115.20000000000002</v>
      </c>
      <c r="H15" s="11">
        <f>G15/189</f>
        <v>0.60952380952380958</v>
      </c>
    </row>
    <row r="16" spans="1:8" ht="24" customHeight="1" x14ac:dyDescent="0.25">
      <c r="A16" s="7">
        <v>13</v>
      </c>
      <c r="B16" s="14" t="s">
        <v>16</v>
      </c>
      <c r="C16" s="15">
        <v>18</v>
      </c>
      <c r="D16" s="13">
        <v>21</v>
      </c>
      <c r="E16" s="15">
        <v>6</v>
      </c>
      <c r="F16" s="15">
        <v>6</v>
      </c>
      <c r="G16" s="7">
        <f>F16*1.1+E16*1.1+D16*2.1+C16*3.1</f>
        <v>113.10000000000001</v>
      </c>
      <c r="H16" s="11">
        <f>G16/189</f>
        <v>0.59841269841269851</v>
      </c>
    </row>
    <row r="17" spans="1:8" ht="24" customHeight="1" x14ac:dyDescent="0.25">
      <c r="A17" s="12">
        <v>14</v>
      </c>
      <c r="B17" s="14" t="s">
        <v>12</v>
      </c>
      <c r="C17" s="15">
        <v>15</v>
      </c>
      <c r="D17" s="13">
        <v>24</v>
      </c>
      <c r="E17" s="15">
        <v>9</v>
      </c>
      <c r="F17" s="10">
        <v>5</v>
      </c>
      <c r="G17" s="7">
        <f>F17*1.1+E17*1.1+D17*2.1+C17*3.1</f>
        <v>112.30000000000001</v>
      </c>
      <c r="H17" s="11">
        <f>G17/189</f>
        <v>0.59417989417989425</v>
      </c>
    </row>
    <row r="18" spans="1:8" ht="24" customHeight="1" x14ac:dyDescent="0.25">
      <c r="A18" s="7">
        <v>15</v>
      </c>
      <c r="B18" s="8" t="s">
        <v>31</v>
      </c>
      <c r="C18" s="9">
        <v>16</v>
      </c>
      <c r="D18" s="9">
        <v>19</v>
      </c>
      <c r="E18" s="9">
        <v>9</v>
      </c>
      <c r="F18" s="9">
        <v>10</v>
      </c>
      <c r="G18" s="7">
        <f>F18*1.1+E18*1.1+D18*2.1+C18*3.1</f>
        <v>110.4</v>
      </c>
      <c r="H18" s="11">
        <f>G18/189</f>
        <v>0.58412698412698416</v>
      </c>
    </row>
    <row r="19" spans="1:8" ht="24" customHeight="1" x14ac:dyDescent="0.25">
      <c r="A19" s="12">
        <v>16</v>
      </c>
      <c r="B19" s="14" t="s">
        <v>26</v>
      </c>
      <c r="C19" s="15">
        <v>16</v>
      </c>
      <c r="D19" s="15">
        <v>17</v>
      </c>
      <c r="E19" s="13">
        <v>12</v>
      </c>
      <c r="F19" s="15">
        <v>7</v>
      </c>
      <c r="G19" s="7">
        <f>F19*1.1+E19*1.1+D19*2.1+C19*3.1</f>
        <v>106.20000000000002</v>
      </c>
      <c r="H19" s="11">
        <f>G19/189</f>
        <v>0.56190476190476202</v>
      </c>
    </row>
    <row r="20" spans="1:8" ht="24" customHeight="1" x14ac:dyDescent="0.25">
      <c r="A20" s="7">
        <v>17</v>
      </c>
      <c r="B20" s="8" t="s">
        <v>27</v>
      </c>
      <c r="C20" s="9">
        <v>18</v>
      </c>
      <c r="D20" s="9">
        <v>15</v>
      </c>
      <c r="E20" s="10">
        <v>4</v>
      </c>
      <c r="F20" s="9">
        <v>7</v>
      </c>
      <c r="G20" s="7">
        <f>F20*1.1+E20*1.1+D20*2.1+C20*3.1</f>
        <v>99.4</v>
      </c>
      <c r="H20" s="11">
        <f>G20/189</f>
        <v>0.52592592592592591</v>
      </c>
    </row>
    <row r="21" spans="1:8" ht="24" customHeight="1" x14ac:dyDescent="0.25">
      <c r="A21" s="12">
        <v>18</v>
      </c>
      <c r="B21" s="8" t="s">
        <v>29</v>
      </c>
      <c r="C21" s="9">
        <v>17</v>
      </c>
      <c r="D21" s="9">
        <v>20</v>
      </c>
      <c r="E21" s="10">
        <v>2</v>
      </c>
      <c r="F21" s="10">
        <v>2</v>
      </c>
      <c r="G21" s="7">
        <f>F21*1.1+E21*1.1+D21*2.1+C21*3.1</f>
        <v>99.1</v>
      </c>
      <c r="H21" s="11">
        <f>G21/189</f>
        <v>0.52433862433862433</v>
      </c>
    </row>
    <row r="22" spans="1:8" ht="24" customHeight="1" x14ac:dyDescent="0.25">
      <c r="A22" s="7">
        <v>19</v>
      </c>
      <c r="B22" s="14" t="s">
        <v>11</v>
      </c>
      <c r="C22" s="15">
        <v>17</v>
      </c>
      <c r="D22" s="15">
        <v>15</v>
      </c>
      <c r="E22" s="10">
        <v>4</v>
      </c>
      <c r="F22" s="15">
        <v>8</v>
      </c>
      <c r="G22" s="7">
        <f>F22*1.1+E22*1.1+D22*2.1+C22*3.1</f>
        <v>97.4</v>
      </c>
      <c r="H22" s="11">
        <f>G22/189</f>
        <v>0.51534391534391533</v>
      </c>
    </row>
    <row r="23" spans="1:8" ht="24" customHeight="1" x14ac:dyDescent="0.25">
      <c r="A23" s="12">
        <v>20</v>
      </c>
      <c r="B23" s="8" t="s">
        <v>25</v>
      </c>
      <c r="C23" s="9">
        <v>14</v>
      </c>
      <c r="D23" s="9">
        <v>13</v>
      </c>
      <c r="E23" s="9">
        <v>7</v>
      </c>
      <c r="F23" s="9">
        <v>8</v>
      </c>
      <c r="G23" s="7">
        <f>F23*1.1+E23*1.1+D23*2.1+C23*3.1</f>
        <v>87.199999999999989</v>
      </c>
      <c r="H23" s="11">
        <f>G23/189</f>
        <v>0.46137566137566133</v>
      </c>
    </row>
    <row r="24" spans="1:8" ht="24" customHeight="1" x14ac:dyDescent="0.25">
      <c r="A24" s="7">
        <v>21</v>
      </c>
      <c r="B24" s="14" t="s">
        <v>14</v>
      </c>
      <c r="C24" s="15">
        <v>13</v>
      </c>
      <c r="D24" s="10">
        <v>11</v>
      </c>
      <c r="E24" s="15">
        <v>7</v>
      </c>
      <c r="F24" s="15">
        <v>8</v>
      </c>
      <c r="G24" s="7">
        <f>F24*1.1+E24*1.1+D24*2.1+C24*3.1</f>
        <v>79.900000000000006</v>
      </c>
      <c r="H24" s="11">
        <f>G24/189</f>
        <v>0.42275132275132277</v>
      </c>
    </row>
    <row r="25" spans="1:8" ht="24" customHeight="1" x14ac:dyDescent="0.25">
      <c r="A25" s="12">
        <v>22</v>
      </c>
      <c r="B25" s="8" t="s">
        <v>10</v>
      </c>
      <c r="C25" s="9">
        <v>16</v>
      </c>
      <c r="D25" s="10">
        <v>8</v>
      </c>
      <c r="E25" s="10">
        <v>2</v>
      </c>
      <c r="F25" s="9">
        <v>6</v>
      </c>
      <c r="G25" s="7">
        <f>F25*1.1+E25*1.1+D25*2.1+C25*3.1</f>
        <v>75.2</v>
      </c>
      <c r="H25" s="11">
        <f>G25/189</f>
        <v>0.39788359788359789</v>
      </c>
    </row>
    <row r="26" spans="1:8" ht="24" customHeight="1" x14ac:dyDescent="0.25">
      <c r="A26" s="7">
        <v>23</v>
      </c>
      <c r="B26" s="14" t="s">
        <v>24</v>
      </c>
      <c r="C26" s="15">
        <v>17</v>
      </c>
      <c r="D26" s="10">
        <v>5</v>
      </c>
      <c r="E26" s="10">
        <v>3</v>
      </c>
      <c r="F26" s="15">
        <v>6</v>
      </c>
      <c r="G26" s="7">
        <f>F26*1.1+E26*1.1+D26*2.1+C26*3.1</f>
        <v>73.099999999999994</v>
      </c>
      <c r="H26" s="11">
        <f>G26/189</f>
        <v>0.38677248677248677</v>
      </c>
    </row>
    <row r="27" spans="1:8" ht="24" customHeight="1" x14ac:dyDescent="0.25">
      <c r="A27" s="12">
        <v>24</v>
      </c>
      <c r="B27" s="8" t="s">
        <v>23</v>
      </c>
      <c r="C27" s="9">
        <v>12</v>
      </c>
      <c r="D27" s="10">
        <v>8</v>
      </c>
      <c r="E27" s="10">
        <v>5</v>
      </c>
      <c r="F27" s="10">
        <v>4</v>
      </c>
      <c r="G27" s="7">
        <f>F27*1.1+E27*1.1+D27*2.1+C27*3.1</f>
        <v>63.900000000000006</v>
      </c>
      <c r="H27" s="11">
        <f>G27/189</f>
        <v>0.33809523809523812</v>
      </c>
    </row>
    <row r="28" spans="1:8" ht="24" customHeight="1" x14ac:dyDescent="0.3">
      <c r="A28" s="7">
        <v>25</v>
      </c>
      <c r="B28" s="16"/>
      <c r="C28" s="16"/>
      <c r="D28" s="16"/>
      <c r="E28" s="16"/>
      <c r="F28" s="16"/>
      <c r="G28" s="16"/>
      <c r="H28" s="16"/>
    </row>
    <row r="29" spans="1:8" x14ac:dyDescent="0.25">
      <c r="B29" s="1"/>
    </row>
    <row r="30" spans="1:8" x14ac:dyDescent="0.25">
      <c r="A30" t="s">
        <v>34</v>
      </c>
      <c r="B30" s="2"/>
      <c r="C30" s="3"/>
    </row>
    <row r="31" spans="1:8" x14ac:dyDescent="0.25">
      <c r="A31" t="s">
        <v>34</v>
      </c>
      <c r="B31" s="2"/>
      <c r="C31" s="3"/>
    </row>
    <row r="32" spans="1:8" x14ac:dyDescent="0.25">
      <c r="A32" t="s">
        <v>34</v>
      </c>
      <c r="B32" s="2"/>
      <c r="C32" s="3"/>
    </row>
    <row r="33" spans="1:3" x14ac:dyDescent="0.25">
      <c r="A33" t="s">
        <v>34</v>
      </c>
      <c r="B33" s="2"/>
      <c r="C33" s="3"/>
    </row>
    <row r="34" spans="1:3" x14ac:dyDescent="0.25">
      <c r="A34" t="s">
        <v>34</v>
      </c>
    </row>
  </sheetData>
  <sortState ref="B4:H27">
    <sortCondition descending="1" ref="H4:H27"/>
  </sortState>
  <mergeCells count="2">
    <mergeCell ref="A1:H1"/>
    <mergeCell ref="A2:H2"/>
  </mergeCells>
  <pageMargins left="0.7" right="0.7" top="0.75" bottom="0.75" header="0.3" footer="0.3"/>
  <pageSetup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Natijalar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2026-03-11T03:47:13Z</dcterms:created>
  <dcterms:modified xsi:type="dcterms:W3CDTF">2026-03-11T07:32:35Z</dcterms:modified>
  <cp:category/>
</cp:coreProperties>
</file>