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0460" windowHeight="7740"/>
  </bookViews>
  <sheets>
    <sheet name="Natijalar" sheetId="1" r:id="rId1"/>
  </sheets>
  <calcPr calcId="162913"/>
</workbook>
</file>

<file path=xl/calcChain.xml><?xml version="1.0" encoding="utf-8"?>
<calcChain xmlns="http://schemas.openxmlformats.org/spreadsheetml/2006/main">
  <c r="H5" i="1" l="1"/>
  <c r="G7" i="1"/>
  <c r="H7" i="1" s="1"/>
  <c r="G18" i="1"/>
  <c r="H18" i="1" s="1"/>
  <c r="G17" i="1"/>
  <c r="H17" i="1" s="1"/>
  <c r="G11" i="1"/>
  <c r="H11" i="1" s="1"/>
  <c r="G6" i="1"/>
  <c r="H6" i="1" s="1"/>
  <c r="G14" i="1"/>
  <c r="H14" i="1" s="1"/>
  <c r="G8" i="1"/>
  <c r="H8" i="1" s="1"/>
  <c r="G22" i="1"/>
  <c r="H22" i="1" s="1"/>
  <c r="G25" i="1"/>
  <c r="H25" i="1" s="1"/>
  <c r="G12" i="1"/>
  <c r="H12" i="1" s="1"/>
  <c r="G15" i="1"/>
  <c r="H15" i="1" s="1"/>
  <c r="G19" i="1"/>
  <c r="H19" i="1" s="1"/>
  <c r="G30" i="1"/>
  <c r="H30" i="1" s="1"/>
  <c r="G23" i="1"/>
  <c r="H23" i="1" s="1"/>
  <c r="G24" i="1"/>
  <c r="H24" i="1" s="1"/>
  <c r="G5" i="1"/>
  <c r="G20" i="1"/>
  <c r="H20" i="1" s="1"/>
  <c r="G28" i="1"/>
  <c r="H28" i="1" s="1"/>
  <c r="G29" i="1"/>
  <c r="H29" i="1" s="1"/>
  <c r="G9" i="1"/>
  <c r="H9" i="1" s="1"/>
  <c r="G26" i="1"/>
  <c r="H26" i="1" s="1"/>
  <c r="G27" i="1"/>
  <c r="H27" i="1" s="1"/>
  <c r="G16" i="1"/>
  <c r="H16" i="1" s="1"/>
  <c r="G10" i="1"/>
  <c r="H10" i="1" s="1"/>
  <c r="G13" i="1"/>
  <c r="H13" i="1" s="1"/>
  <c r="G32" i="1"/>
  <c r="H32" i="1" s="1"/>
  <c r="G21" i="1"/>
  <c r="H21" i="1" s="1"/>
  <c r="G31" i="1"/>
  <c r="H31" i="1" s="1"/>
  <c r="G4" i="1"/>
  <c r="H4" i="1" s="1"/>
</calcChain>
</file>

<file path=xl/sharedStrings.xml><?xml version="1.0" encoding="utf-8"?>
<sst xmlns="http://schemas.openxmlformats.org/spreadsheetml/2006/main" count="44" uniqueCount="40">
  <si>
    <t>Blok test natijalar — 8-sinf | 8 Texnika  | 2/2026</t>
  </si>
  <si>
    <t>O'quvchilar: 31 | Fanlar: 4 | Jami savollar: 90</t>
  </si>
  <si>
    <t>№</t>
  </si>
  <si>
    <t>F.I.O</t>
  </si>
  <si>
    <t>Matematika
(30 ta)</t>
  </si>
  <si>
    <t>Fizika
(30 ta)</t>
  </si>
  <si>
    <t>Ona tili
(15 ta)</t>
  </si>
  <si>
    <t>Tarix
(15 ta)</t>
  </si>
  <si>
    <t>Jami ball</t>
  </si>
  <si>
    <t>Foiz (%)</t>
  </si>
  <si>
    <t>Akbarov Alibek</t>
  </si>
  <si>
    <t>Azimov Shohjahon</t>
  </si>
  <si>
    <t>Bahodirov Javlonbek</t>
  </si>
  <si>
    <t>Baxshullayev Azizbek</t>
  </si>
  <si>
    <t>Baxtiyorov Humoyunmirzo</t>
  </si>
  <si>
    <t>Bobirov Gaybullo</t>
  </si>
  <si>
    <t>Dilmurodov Xumoyun</t>
  </si>
  <si>
    <t>Dushanboyev Javohir</t>
  </si>
  <si>
    <t>Farhodov Fayzbek</t>
  </si>
  <si>
    <t>Halimov Bahriddin</t>
  </si>
  <si>
    <t>Ikromov Islombek</t>
  </si>
  <si>
    <t>Iskandarov Iqbolmirzo</t>
  </si>
  <si>
    <t>Isroilov Erkin</t>
  </si>
  <si>
    <t>Jurabekov Jahongir</t>
  </si>
  <si>
    <t>Kamolov Firdavs</t>
  </si>
  <si>
    <t>Komilov Dilshod</t>
  </si>
  <si>
    <t>Narziyeva Nozanin</t>
  </si>
  <si>
    <t>Nasimov Bunyod</t>
  </si>
  <si>
    <t>Normurodov Zuhriddin</t>
  </si>
  <si>
    <t>Nurullayev Mehroj</t>
  </si>
  <si>
    <t>Ochilov Asliddin</t>
  </si>
  <si>
    <t>Qudratov Dilshod</t>
  </si>
  <si>
    <t>Rasulov Azizbek</t>
  </si>
  <si>
    <t>Safarov Abduxoliq</t>
  </si>
  <si>
    <t>Saidov Shaxboz</t>
  </si>
  <si>
    <t>Sayfiddinov Zavqiddin</t>
  </si>
  <si>
    <t>Shavqiddinov Odilbek</t>
  </si>
  <si>
    <t>Tursunpolatov Bunyod</t>
  </si>
  <si>
    <t/>
  </si>
  <si>
    <t>Komilov O`lmas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</si>
</sst>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sz val="10"/>
      <name val="Calibri"/>
    </font>
    <font>
      <sz val="10"/>
      <color rgb="FF991B1B"/>
      <name val="Calibri"/>
    </font>
    <font>
      <b/>
      <sz val="10"/>
      <color rgb="FF991B1B"/>
      <name val="Calibri"/>
    </font>
    <font>
      <sz val="10"/>
      <color rgb="FF166534"/>
      <name val="Calibri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338CA"/>
      </patternFill>
    </fill>
    <fill>
      <patternFill patternType="solid">
        <fgColor rgb="FF6366F1"/>
      </patternFill>
    </fill>
    <fill>
      <patternFill patternType="solid">
        <fgColor rgb="FFEEF2FF"/>
      </patternFill>
    </fill>
    <fill>
      <patternFill patternType="solid">
        <fgColor rgb="FFFEE2E2"/>
      </patternFill>
    </fill>
    <fill>
      <patternFill patternType="solid">
        <fgColor rgb="FFFFFFFF"/>
      </patternFill>
    </fill>
    <fill>
      <patternFill patternType="solid">
        <fgColor rgb="FFDCFCE7"/>
      </patternFill>
    </fill>
  </fills>
  <borders count="2">
    <border>
      <left/>
      <right/>
      <top/>
      <bottom/>
      <diagonal/>
    </border>
    <border>
      <left style="thin">
        <color rgb="FFC7D2FE"/>
      </left>
      <right style="thin">
        <color rgb="FFC7D2FE"/>
      </right>
      <top style="thin">
        <color rgb="FFC7D2FE"/>
      </top>
      <bottom style="thin">
        <color rgb="FFC7D2FE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0" fontId="6" fillId="5" borderId="1" xfId="1" applyNumberFormat="1" applyFont="1" applyFill="1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topLeftCell="A28" workbookViewId="0">
      <selection activeCell="E37" sqref="E37"/>
    </sheetView>
  </sheetViews>
  <sheetFormatPr defaultRowHeight="15" x14ac:dyDescent="0.25"/>
  <cols>
    <col min="1" max="1" width="5" customWidth="1"/>
    <col min="2" max="2" width="32" customWidth="1"/>
    <col min="3" max="6" width="18" customWidth="1"/>
    <col min="7" max="7" width="14" customWidth="1"/>
    <col min="8" max="8" width="12" customWidth="1"/>
  </cols>
  <sheetData>
    <row r="1" spans="1:8" ht="36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</row>
    <row r="2" spans="1:8" ht="24" customHeight="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39.950000000000003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24" customHeight="1" x14ac:dyDescent="0.25">
      <c r="A4" s="2">
        <v>1</v>
      </c>
      <c r="B4" s="3" t="s">
        <v>10</v>
      </c>
      <c r="C4" s="4">
        <v>25</v>
      </c>
      <c r="D4" s="4">
        <v>24</v>
      </c>
      <c r="E4" s="4">
        <v>3</v>
      </c>
      <c r="F4" s="5">
        <v>6</v>
      </c>
      <c r="G4" s="2">
        <f>C4*3.1+D4*2.1+E4*1.1+F4*1.1</f>
        <v>137.80000000000001</v>
      </c>
      <c r="H4" s="12">
        <f>G4/189</f>
        <v>0.72910052910052914</v>
      </c>
    </row>
    <row r="5" spans="1:8" ht="24" customHeight="1" x14ac:dyDescent="0.25">
      <c r="A5" s="6">
        <v>2</v>
      </c>
      <c r="B5" s="3" t="s">
        <v>39</v>
      </c>
      <c r="C5" s="9">
        <v>26</v>
      </c>
      <c r="D5" s="9">
        <v>27</v>
      </c>
      <c r="E5" s="5">
        <v>6</v>
      </c>
      <c r="F5" s="5">
        <v>9</v>
      </c>
      <c r="G5" s="2">
        <f>C5*3.1+D5*2.1+E5*1.1+F5*1.1</f>
        <v>153.80000000000001</v>
      </c>
      <c r="H5" s="12">
        <f>G5/189</f>
        <v>0.81375661375661379</v>
      </c>
    </row>
    <row r="6" spans="1:8" ht="24" customHeight="1" x14ac:dyDescent="0.25">
      <c r="A6" s="2">
        <v>3</v>
      </c>
      <c r="B6" s="7" t="s">
        <v>15</v>
      </c>
      <c r="C6" s="9">
        <v>28</v>
      </c>
      <c r="D6" s="9">
        <v>23</v>
      </c>
      <c r="E6" s="8">
        <v>6</v>
      </c>
      <c r="F6" s="8">
        <v>8</v>
      </c>
      <c r="G6" s="2">
        <f>C6*3.1+D6*2.1+E6*1.1+F6*1.1</f>
        <v>150.5</v>
      </c>
      <c r="H6" s="12">
        <f>G6/189</f>
        <v>0.79629629629629628</v>
      </c>
    </row>
    <row r="7" spans="1:8" ht="24" customHeight="1" x14ac:dyDescent="0.25">
      <c r="A7" s="6">
        <v>4</v>
      </c>
      <c r="B7" s="7" t="s">
        <v>11</v>
      </c>
      <c r="C7" s="4">
        <v>27</v>
      </c>
      <c r="D7" s="4">
        <v>24</v>
      </c>
      <c r="E7" s="4">
        <v>2</v>
      </c>
      <c r="F7" s="4">
        <v>4</v>
      </c>
      <c r="G7" s="2">
        <f>C7*3.1+D7*2.1+E7*1.1+F7*1.1</f>
        <v>140.70000000000002</v>
      </c>
      <c r="H7" s="12">
        <f>G7/189</f>
        <v>0.74444444444444458</v>
      </c>
    </row>
    <row r="8" spans="1:8" ht="24" customHeight="1" x14ac:dyDescent="0.25">
      <c r="A8" s="2">
        <v>5</v>
      </c>
      <c r="B8" s="7" t="s">
        <v>17</v>
      </c>
      <c r="C8" s="8">
        <v>24</v>
      </c>
      <c r="D8" s="8">
        <v>23</v>
      </c>
      <c r="E8" s="8">
        <v>7</v>
      </c>
      <c r="F8" s="8">
        <v>7</v>
      </c>
      <c r="G8" s="2">
        <f>C8*3.1+D8*2.1+E8*1.1+F8*1.1</f>
        <v>138.1</v>
      </c>
      <c r="H8" s="12">
        <f>G8/189</f>
        <v>0.73068783068783061</v>
      </c>
    </row>
    <row r="9" spans="1:8" ht="24" customHeight="1" x14ac:dyDescent="0.25">
      <c r="A9" s="6">
        <v>6</v>
      </c>
      <c r="B9" s="7" t="s">
        <v>29</v>
      </c>
      <c r="C9" s="8">
        <v>24</v>
      </c>
      <c r="D9" s="8">
        <v>22</v>
      </c>
      <c r="E9" s="8">
        <v>8</v>
      </c>
      <c r="F9" s="8">
        <v>6</v>
      </c>
      <c r="G9" s="2">
        <f>C9*3.1+D9*2.1+E9*1.1+F9*1.1</f>
        <v>136</v>
      </c>
      <c r="H9" s="12">
        <f>G9/189</f>
        <v>0.71957671957671954</v>
      </c>
    </row>
    <row r="10" spans="1:8" ht="24" customHeight="1" x14ac:dyDescent="0.25">
      <c r="A10" s="2">
        <v>7</v>
      </c>
      <c r="B10" s="7" t="s">
        <v>33</v>
      </c>
      <c r="C10" s="8">
        <v>24</v>
      </c>
      <c r="D10" s="9">
        <v>22</v>
      </c>
      <c r="E10" s="8">
        <v>9</v>
      </c>
      <c r="F10" s="4">
        <v>4</v>
      </c>
      <c r="G10" s="2">
        <f>C10*3.1+D10*2.1+E10*1.1+F10*1.1</f>
        <v>134.9</v>
      </c>
      <c r="H10" s="12">
        <f>G10/189</f>
        <v>0.71375661375661381</v>
      </c>
    </row>
    <row r="11" spans="1:8" ht="24" customHeight="1" x14ac:dyDescent="0.25">
      <c r="A11" s="6">
        <v>8</v>
      </c>
      <c r="B11" s="3" t="s">
        <v>14</v>
      </c>
      <c r="C11" s="5">
        <v>23</v>
      </c>
      <c r="D11" s="5">
        <v>21</v>
      </c>
      <c r="E11" s="5">
        <v>7</v>
      </c>
      <c r="F11" s="5">
        <v>7</v>
      </c>
      <c r="G11" s="2">
        <f>C11*3.1+D11*2.1+E11*1.1+F11*1.1</f>
        <v>130.80000000000001</v>
      </c>
      <c r="H11" s="12">
        <f>G11/189</f>
        <v>0.69206349206349216</v>
      </c>
    </row>
    <row r="12" spans="1:8" ht="24" customHeight="1" x14ac:dyDescent="0.25">
      <c r="A12" s="2">
        <v>9</v>
      </c>
      <c r="B12" s="3" t="s">
        <v>20</v>
      </c>
      <c r="C12" s="5">
        <v>23</v>
      </c>
      <c r="D12" s="5">
        <v>21</v>
      </c>
      <c r="E12" s="4">
        <v>4</v>
      </c>
      <c r="F12" s="5">
        <v>9</v>
      </c>
      <c r="G12" s="2">
        <f>C12*3.1+D12*2.1+E12*1.1+F12*1.1</f>
        <v>129.70000000000002</v>
      </c>
      <c r="H12" s="12">
        <f>G12/189</f>
        <v>0.68624338624338632</v>
      </c>
    </row>
    <row r="13" spans="1:8" ht="24" customHeight="1" x14ac:dyDescent="0.25">
      <c r="A13" s="6">
        <v>10</v>
      </c>
      <c r="B13" s="7" t="s">
        <v>34</v>
      </c>
      <c r="C13" s="8">
        <v>21</v>
      </c>
      <c r="D13" s="8">
        <v>23</v>
      </c>
      <c r="E13" s="4">
        <v>3</v>
      </c>
      <c r="F13" s="9">
        <v>11</v>
      </c>
      <c r="G13" s="2">
        <f>C13*3.1+D13*2.1+E13*1.1+F13*1.1</f>
        <v>128.80000000000001</v>
      </c>
      <c r="H13" s="12">
        <f>G13/189</f>
        <v>0.68148148148148158</v>
      </c>
    </row>
    <row r="14" spans="1:8" ht="24" customHeight="1" x14ac:dyDescent="0.25">
      <c r="A14" s="2">
        <v>11</v>
      </c>
      <c r="B14" s="3" t="s">
        <v>16</v>
      </c>
      <c r="C14" s="5">
        <v>21</v>
      </c>
      <c r="D14" s="9">
        <v>23</v>
      </c>
      <c r="E14" s="4">
        <v>5</v>
      </c>
      <c r="F14" s="4">
        <v>4</v>
      </c>
      <c r="G14" s="2">
        <f>C14*3.1+D14*2.1+E14*1.1+F14*1.1</f>
        <v>123.30000000000001</v>
      </c>
      <c r="H14" s="12">
        <f>G14/189</f>
        <v>0.65238095238095239</v>
      </c>
    </row>
    <row r="15" spans="1:8" ht="24" customHeight="1" x14ac:dyDescent="0.25">
      <c r="A15" s="6">
        <v>12</v>
      </c>
      <c r="B15" s="7" t="s">
        <v>21</v>
      </c>
      <c r="C15" s="8">
        <v>21</v>
      </c>
      <c r="D15" s="8">
        <v>19</v>
      </c>
      <c r="E15" s="8">
        <v>8</v>
      </c>
      <c r="F15" s="8">
        <v>8</v>
      </c>
      <c r="G15" s="2">
        <f>C15*3.1+D15*2.1+E15*1.1+F15*1.1</f>
        <v>122.6</v>
      </c>
      <c r="H15" s="12">
        <f>G15/189</f>
        <v>0.64867724867724863</v>
      </c>
    </row>
    <row r="16" spans="1:8" ht="24" customHeight="1" x14ac:dyDescent="0.25">
      <c r="A16" s="2">
        <v>13</v>
      </c>
      <c r="B16" s="3" t="s">
        <v>32</v>
      </c>
      <c r="C16" s="5">
        <v>20</v>
      </c>
      <c r="D16" s="5">
        <v>20</v>
      </c>
      <c r="E16" s="5">
        <v>10</v>
      </c>
      <c r="F16" s="5">
        <v>6</v>
      </c>
      <c r="G16" s="2">
        <f>C16*3.1+D16*2.1+E16*1.1+F16*1.1</f>
        <v>121.6</v>
      </c>
      <c r="H16" s="12">
        <f>G16/189</f>
        <v>0.64338624338624339</v>
      </c>
    </row>
    <row r="17" spans="1:8" ht="24" customHeight="1" x14ac:dyDescent="0.25">
      <c r="A17" s="6">
        <v>14</v>
      </c>
      <c r="B17" s="7" t="s">
        <v>13</v>
      </c>
      <c r="C17" s="4">
        <v>20</v>
      </c>
      <c r="D17" s="8">
        <v>23</v>
      </c>
      <c r="E17" s="4">
        <v>4</v>
      </c>
      <c r="F17" s="8">
        <v>6</v>
      </c>
      <c r="G17" s="2">
        <f>C17*3.1+D17*2.1+E17*1.1+F17*1.1</f>
        <v>121.30000000000001</v>
      </c>
      <c r="H17" s="12">
        <f>G17/189</f>
        <v>0.64179894179894181</v>
      </c>
    </row>
    <row r="18" spans="1:8" ht="24" customHeight="1" x14ac:dyDescent="0.25">
      <c r="A18" s="2">
        <v>15</v>
      </c>
      <c r="B18" s="3" t="s">
        <v>12</v>
      </c>
      <c r="C18" s="5">
        <v>22</v>
      </c>
      <c r="D18" s="5">
        <v>20</v>
      </c>
      <c r="E18" s="4">
        <v>4</v>
      </c>
      <c r="F18" s="5">
        <v>6</v>
      </c>
      <c r="G18" s="2">
        <f>C18*3.1+D18*2.1+E18*1.1+F18*1.1</f>
        <v>121.2</v>
      </c>
      <c r="H18" s="12">
        <f>G18/189</f>
        <v>0.64126984126984132</v>
      </c>
    </row>
    <row r="19" spans="1:8" ht="24" customHeight="1" x14ac:dyDescent="0.25">
      <c r="A19" s="6">
        <v>16</v>
      </c>
      <c r="B19" s="3" t="s">
        <v>22</v>
      </c>
      <c r="C19" s="5">
        <v>22</v>
      </c>
      <c r="D19" s="5">
        <v>19</v>
      </c>
      <c r="E19" s="4">
        <v>3</v>
      </c>
      <c r="F19" s="5">
        <v>7</v>
      </c>
      <c r="G19" s="2">
        <f>C19*3.1+D19*2.1+E19*1.1+F19*1.1</f>
        <v>119.1</v>
      </c>
      <c r="H19" s="12">
        <f>G19/189</f>
        <v>0.63015873015873014</v>
      </c>
    </row>
    <row r="20" spans="1:8" ht="24" customHeight="1" x14ac:dyDescent="0.25">
      <c r="A20" s="2">
        <v>17</v>
      </c>
      <c r="B20" s="7" t="s">
        <v>26</v>
      </c>
      <c r="C20" s="8">
        <v>18</v>
      </c>
      <c r="D20" s="8">
        <v>19</v>
      </c>
      <c r="E20" s="8">
        <v>10</v>
      </c>
      <c r="F20" s="8">
        <v>7</v>
      </c>
      <c r="G20" s="2">
        <f>C20*3.1+D20*2.1+E20*1.1+F20*1.1</f>
        <v>114.4</v>
      </c>
      <c r="H20" s="12">
        <f>G20/189</f>
        <v>0.60529100529100532</v>
      </c>
    </row>
    <row r="21" spans="1:8" ht="24" customHeight="1" x14ac:dyDescent="0.25">
      <c r="A21" s="6">
        <v>18</v>
      </c>
      <c r="B21" s="7" t="s">
        <v>36</v>
      </c>
      <c r="C21" s="8">
        <v>21</v>
      </c>
      <c r="D21" s="8">
        <v>20</v>
      </c>
      <c r="E21" s="4">
        <v>3</v>
      </c>
      <c r="F21" s="4">
        <v>3</v>
      </c>
      <c r="G21" s="2">
        <f>C21*3.1+D21*2.1+E21*1.1+F21*1.1</f>
        <v>113.7</v>
      </c>
      <c r="H21" s="12">
        <f>G21/189</f>
        <v>0.60158730158730156</v>
      </c>
    </row>
    <row r="22" spans="1:8" ht="24" customHeight="1" x14ac:dyDescent="0.25">
      <c r="A22" s="2">
        <v>19</v>
      </c>
      <c r="B22" s="3" t="s">
        <v>18</v>
      </c>
      <c r="C22" s="4">
        <v>20</v>
      </c>
      <c r="D22" s="5">
        <v>20</v>
      </c>
      <c r="E22" s="4">
        <v>5</v>
      </c>
      <c r="F22" s="4">
        <v>2</v>
      </c>
      <c r="G22" s="2">
        <f>C22*3.1+D22*2.1+E22*1.1+F22*1.1</f>
        <v>111.7</v>
      </c>
      <c r="H22" s="12">
        <f>G22/189</f>
        <v>0.59100529100529098</v>
      </c>
    </row>
    <row r="23" spans="1:8" ht="24" customHeight="1" x14ac:dyDescent="0.25">
      <c r="A23" s="6">
        <v>20</v>
      </c>
      <c r="B23" s="3" t="s">
        <v>24</v>
      </c>
      <c r="C23" s="4">
        <v>21</v>
      </c>
      <c r="D23" s="5">
        <v>16</v>
      </c>
      <c r="E23" s="4">
        <v>4</v>
      </c>
      <c r="F23" s="4">
        <v>5</v>
      </c>
      <c r="G23" s="2">
        <f>C23*3.1+D23*2.1+E23*1.1+F23*1.1</f>
        <v>108.60000000000002</v>
      </c>
      <c r="H23" s="12">
        <f>G23/189</f>
        <v>0.57460317460317467</v>
      </c>
    </row>
    <row r="24" spans="1:8" ht="24" customHeight="1" x14ac:dyDescent="0.25">
      <c r="A24" s="2">
        <v>21</v>
      </c>
      <c r="B24" s="7" t="s">
        <v>25</v>
      </c>
      <c r="C24" s="4">
        <v>20</v>
      </c>
      <c r="D24" s="8">
        <v>17</v>
      </c>
      <c r="E24" s="4">
        <v>3</v>
      </c>
      <c r="F24" s="4">
        <v>4</v>
      </c>
      <c r="G24" s="2">
        <f>C24*3.1+D24*2.1+E24*1.1+F24*1.1</f>
        <v>105.4</v>
      </c>
      <c r="H24" s="12">
        <f>G24/189</f>
        <v>0.55767195767195765</v>
      </c>
    </row>
    <row r="25" spans="1:8" ht="24" customHeight="1" x14ac:dyDescent="0.25">
      <c r="A25" s="6">
        <v>22</v>
      </c>
      <c r="B25" s="7" t="s">
        <v>19</v>
      </c>
      <c r="C25" s="8">
        <v>18</v>
      </c>
      <c r="D25" s="8">
        <v>20</v>
      </c>
      <c r="E25" s="4">
        <v>1</v>
      </c>
      <c r="F25" s="4">
        <v>4</v>
      </c>
      <c r="G25" s="2">
        <f>C25*3.1+D25*2.1+E25*1.1+F25*1.1</f>
        <v>103.30000000000001</v>
      </c>
      <c r="H25" s="12">
        <f>G25/189</f>
        <v>0.54656084656084658</v>
      </c>
    </row>
    <row r="26" spans="1:8" ht="24" customHeight="1" x14ac:dyDescent="0.25">
      <c r="A26" s="2">
        <v>23</v>
      </c>
      <c r="B26" s="3" t="s">
        <v>30</v>
      </c>
      <c r="C26" s="5">
        <v>16</v>
      </c>
      <c r="D26" s="5">
        <v>18</v>
      </c>
      <c r="E26" s="5">
        <v>6</v>
      </c>
      <c r="F26" s="5">
        <v>7</v>
      </c>
      <c r="G26" s="2">
        <f>C26*3.1+D26*2.1+E26*1.1+F26*1.1</f>
        <v>101.7</v>
      </c>
      <c r="H26" s="12">
        <f>G26/189</f>
        <v>0.53809523809523807</v>
      </c>
    </row>
    <row r="27" spans="1:8" ht="24" customHeight="1" x14ac:dyDescent="0.25">
      <c r="A27" s="6">
        <v>24</v>
      </c>
      <c r="B27" s="7" t="s">
        <v>31</v>
      </c>
      <c r="C27" s="8">
        <v>15</v>
      </c>
      <c r="D27" s="8">
        <v>19</v>
      </c>
      <c r="E27" s="4">
        <v>5</v>
      </c>
      <c r="F27" s="8">
        <v>6</v>
      </c>
      <c r="G27" s="2">
        <f>C27*3.1+D27*2.1+E27*1.1+F27*1.1</f>
        <v>98.5</v>
      </c>
      <c r="H27" s="12">
        <f>G27/189</f>
        <v>0.52116402116402116</v>
      </c>
    </row>
    <row r="28" spans="1:8" ht="24" customHeight="1" x14ac:dyDescent="0.25">
      <c r="A28" s="2">
        <v>25</v>
      </c>
      <c r="B28" s="3" t="s">
        <v>27</v>
      </c>
      <c r="C28" s="4">
        <v>15</v>
      </c>
      <c r="D28" s="5">
        <v>15</v>
      </c>
      <c r="E28" s="5">
        <v>7</v>
      </c>
      <c r="F28" s="4">
        <v>2</v>
      </c>
      <c r="G28" s="2">
        <f>C28*3.1+D28*2.1+E28*1.1+F28*1.1</f>
        <v>87.9</v>
      </c>
      <c r="H28" s="12">
        <f>G28/189</f>
        <v>0.46507936507936509</v>
      </c>
    </row>
    <row r="29" spans="1:8" ht="24" customHeight="1" x14ac:dyDescent="0.25">
      <c r="A29" s="6">
        <v>26</v>
      </c>
      <c r="B29" s="3" t="s">
        <v>28</v>
      </c>
      <c r="C29" s="4">
        <v>10</v>
      </c>
      <c r="D29" s="5">
        <v>19</v>
      </c>
      <c r="E29" s="4">
        <v>2</v>
      </c>
      <c r="F29" s="4">
        <v>4</v>
      </c>
      <c r="G29" s="2">
        <f>C29*3.1+D29*2.1+E29*1.1+F29*1.1</f>
        <v>77.500000000000014</v>
      </c>
      <c r="H29" s="12">
        <f>G29/189</f>
        <v>0.41005291005291011</v>
      </c>
    </row>
    <row r="30" spans="1:8" ht="24" customHeight="1" x14ac:dyDescent="0.25">
      <c r="A30" s="2">
        <v>27</v>
      </c>
      <c r="B30" s="7" t="s">
        <v>23</v>
      </c>
      <c r="C30" s="4">
        <v>13</v>
      </c>
      <c r="D30" s="4">
        <v>12</v>
      </c>
      <c r="E30" s="4">
        <v>5</v>
      </c>
      <c r="F30" s="4">
        <v>3</v>
      </c>
      <c r="G30" s="2">
        <f>C30*3.1+D30*2.1+E30*1.1+F30*1.1</f>
        <v>74.3</v>
      </c>
      <c r="H30" s="12">
        <f>G30/189</f>
        <v>0.39312169312169309</v>
      </c>
    </row>
    <row r="31" spans="1:8" ht="24" customHeight="1" x14ac:dyDescent="0.25">
      <c r="A31" s="6">
        <v>28</v>
      </c>
      <c r="B31" s="3" t="s">
        <v>37</v>
      </c>
      <c r="C31" s="4">
        <v>8</v>
      </c>
      <c r="D31" s="5">
        <v>17</v>
      </c>
      <c r="E31" s="5">
        <v>6</v>
      </c>
      <c r="F31" s="4">
        <v>4</v>
      </c>
      <c r="G31" s="2">
        <f>C31*3.1+D31*2.1+E31*1.1+F31*1.1</f>
        <v>71.5</v>
      </c>
      <c r="H31" s="12">
        <f>G31/189</f>
        <v>0.37830687830687831</v>
      </c>
    </row>
    <row r="32" spans="1:8" ht="24" customHeight="1" x14ac:dyDescent="0.25">
      <c r="A32" s="2">
        <v>29</v>
      </c>
      <c r="B32" s="3" t="s">
        <v>35</v>
      </c>
      <c r="C32" s="4">
        <v>10</v>
      </c>
      <c r="D32" s="4">
        <v>11</v>
      </c>
      <c r="E32" s="4">
        <v>2</v>
      </c>
      <c r="F32" s="4">
        <v>3</v>
      </c>
      <c r="G32" s="2">
        <f>C32*3.1+D32*2.1+E32*1.1+F32*1.1</f>
        <v>59.6</v>
      </c>
      <c r="H32" s="12">
        <f>G32/189</f>
        <v>0.31534391534391537</v>
      </c>
    </row>
    <row r="33" spans="1:1" ht="24" customHeight="1" x14ac:dyDescent="0.25">
      <c r="A33" s="6">
        <v>30</v>
      </c>
    </row>
    <row r="34" spans="1:1" ht="24" customHeight="1" x14ac:dyDescent="0.25">
      <c r="A34" s="2">
        <v>31</v>
      </c>
    </row>
    <row r="36" spans="1:1" x14ac:dyDescent="0.25">
      <c r="A36" t="s">
        <v>38</v>
      </c>
    </row>
    <row r="37" spans="1:1" x14ac:dyDescent="0.25">
      <c r="A37" t="s">
        <v>38</v>
      </c>
    </row>
    <row r="38" spans="1:1" x14ac:dyDescent="0.25">
      <c r="A38" t="s">
        <v>38</v>
      </c>
    </row>
    <row r="39" spans="1:1" x14ac:dyDescent="0.25">
      <c r="A39" t="s">
        <v>38</v>
      </c>
    </row>
    <row r="40" spans="1:1" x14ac:dyDescent="0.25">
      <c r="A40" t="s">
        <v>38</v>
      </c>
    </row>
  </sheetData>
  <sortState ref="B5:H34">
    <sortCondition descending="1" ref="F4"/>
  </sortState>
  <mergeCells count="2">
    <mergeCell ref="A1:H1"/>
    <mergeCell ref="A2:H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Natijalar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2026-03-11T03:47:29Z</dcterms:created>
  <dcterms:modified xsi:type="dcterms:W3CDTF">2026-03-11T07:11:59Z</dcterms:modified>
  <cp:category/>
</cp:coreProperties>
</file>