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lok test\"/>
    </mc:Choice>
  </mc:AlternateContent>
  <xr:revisionPtr revIDLastSave="0" documentId="13_ncr:1_{9BC0637E-1131-4290-8852-C816F9FDAEDA}" xr6:coauthVersionLast="47" xr6:coauthVersionMax="47" xr10:uidLastSave="{00000000-0000-0000-0000-000000000000}"/>
  <bookViews>
    <workbookView xWindow="-120" yWindow="-120" windowWidth="20730" windowHeight="11160" xr2:uid="{EE88982E-9738-476F-A1C8-14C5BF7FC90A}"/>
  </bookViews>
  <sheets>
    <sheet name="11-inyaz " sheetId="1" r:id="rId1"/>
    <sheet name="10-inya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H3" i="1"/>
  <c r="I3" i="1" s="1"/>
  <c r="H4" i="1"/>
  <c r="I4" i="1" s="1"/>
  <c r="H5" i="1"/>
  <c r="I5" i="1" s="1"/>
  <c r="H6" i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2" i="1"/>
  <c r="I2" i="1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</calcChain>
</file>

<file path=xl/sharedStrings.xml><?xml version="1.0" encoding="utf-8"?>
<sst xmlns="http://schemas.openxmlformats.org/spreadsheetml/2006/main" count="73" uniqueCount="41">
  <si>
    <t>11-inyaz</t>
  </si>
  <si>
    <t>Ism familiya</t>
  </si>
  <si>
    <t>I Blok</t>
  </si>
  <si>
    <t>II Blok</t>
  </si>
  <si>
    <t>Matematika</t>
  </si>
  <si>
    <t>Tarix</t>
  </si>
  <si>
    <t>Sobirova Zebiniso</t>
  </si>
  <si>
    <t>IO</t>
  </si>
  <si>
    <t>Shokirova Marjona</t>
  </si>
  <si>
    <t>Shokirova Shahzoda</t>
  </si>
  <si>
    <t>Muhiddinova Dilnoza</t>
  </si>
  <si>
    <t>Farhodova Charos</t>
  </si>
  <si>
    <t>Hikmatova Dinara</t>
  </si>
  <si>
    <t>OT</t>
  </si>
  <si>
    <t>Erkinova Sarvinoz</t>
  </si>
  <si>
    <t>Komilova Munisa</t>
  </si>
  <si>
    <t xml:space="preserve">Qahhorova Durdona </t>
  </si>
  <si>
    <t>Xudoyberdiyev Sarvar</t>
  </si>
  <si>
    <t>Fazliddinova Munojot</t>
  </si>
  <si>
    <t>Hojiyeva Gulyuz</t>
  </si>
  <si>
    <t xml:space="preserve">Mustafoyeva Ruxshona </t>
  </si>
  <si>
    <t>Erkinova Muyassar</t>
  </si>
  <si>
    <t>Barotova Aziza</t>
  </si>
  <si>
    <t>t/r</t>
  </si>
  <si>
    <t>III Blok</t>
  </si>
  <si>
    <t>Mo`minova Sabina</t>
  </si>
  <si>
    <t>Erkinova Umidabonu</t>
  </si>
  <si>
    <t>Gafarov Samir</t>
  </si>
  <si>
    <t>Sodiqova Zahro</t>
  </si>
  <si>
    <t>Saidova Mohinur</t>
  </si>
  <si>
    <t>Raupova Sharifa</t>
  </si>
  <si>
    <t>Hakimova Saida</t>
  </si>
  <si>
    <t>Sayfiddinov Sanjarbek</t>
  </si>
  <si>
    <t>Esanova Shahzoda</t>
  </si>
  <si>
    <t>Abdualimova Mohira</t>
  </si>
  <si>
    <t>Olimova Gulnoza</t>
  </si>
  <si>
    <t>Jumayeva Mohinur</t>
  </si>
  <si>
    <t>Rizoyeva Shahina</t>
  </si>
  <si>
    <t>Mehmonov Bobur</t>
  </si>
  <si>
    <t>Abduraupova Dilfuza</t>
  </si>
  <si>
    <t xml:space="preserve">Mirzayeva Shahina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</si>
</sst>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textRotation="90"/>
    </xf>
    <xf numFmtId="14" fontId="1" fillId="2" borderId="1" xfId="0" applyNumberFormat="1" applyFont="1" applyFill="1" applyBorder="1" applyAlignment="1">
      <alignment textRotation="90"/>
    </xf>
    <xf numFmtId="0" fontId="1" fillId="2" borderId="1" xfId="0" applyFont="1" applyFill="1" applyBorder="1" applyAlignment="1">
      <alignment textRotation="90"/>
    </xf>
    <xf numFmtId="0" fontId="1" fillId="2" borderId="1" xfId="0" applyFont="1" applyFill="1" applyBorder="1"/>
    <xf numFmtId="0" fontId="1" fillId="2" borderId="0" xfId="0" applyFont="1" applyFill="1"/>
    <xf numFmtId="1" fontId="1" fillId="2" borderId="1" xfId="0" applyNumberFormat="1" applyFont="1" applyFill="1" applyBorder="1"/>
    <xf numFmtId="9" fontId="1" fillId="2" borderId="1" xfId="1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1839-2A6A-4EDB-A953-6BFB5359EF48}">
  <dimension ref="A1:W22"/>
  <sheetViews>
    <sheetView tabSelected="1" workbookViewId="0">
      <selection activeCell="G6" sqref="G6"/>
    </sheetView>
  </sheetViews>
  <sheetFormatPr defaultRowHeight="15" x14ac:dyDescent="0.25"/>
  <cols>
    <col min="1" max="1" width="4.85546875" style="6" customWidth="1"/>
    <col min="2" max="2" width="20.42578125" style="6" customWidth="1"/>
    <col min="3" max="3" width="6.7109375" style="6" customWidth="1"/>
    <col min="4" max="4" width="5.42578125" style="6" customWidth="1"/>
    <col min="5" max="6" width="4.42578125" style="6" customWidth="1"/>
    <col min="7" max="7" width="4.85546875" style="6" customWidth="1"/>
    <col min="8" max="8" width="4.42578125" style="6" customWidth="1"/>
    <col min="9" max="9" width="5.85546875" style="6" bestFit="1" customWidth="1"/>
    <col min="10" max="10" width="4.28515625" style="6" customWidth="1"/>
    <col min="11" max="11" width="4.7109375" style="6" customWidth="1"/>
    <col min="12" max="12" width="4.42578125" style="6" customWidth="1"/>
    <col min="13" max="13" width="5.42578125" style="6" customWidth="1"/>
    <col min="14" max="14" width="4.5703125" style="6" customWidth="1"/>
    <col min="15" max="15" width="4.28515625" style="6" customWidth="1"/>
    <col min="16" max="16" width="4.5703125" style="6" customWidth="1"/>
    <col min="17" max="17" width="4.42578125" style="6" customWidth="1"/>
    <col min="18" max="19" width="4.7109375" style="6" customWidth="1"/>
    <col min="20" max="20" width="4.42578125" style="6" customWidth="1"/>
    <col min="21" max="21" width="4.5703125" style="6" customWidth="1"/>
    <col min="22" max="22" width="4.28515625" style="6" customWidth="1"/>
    <col min="23" max="23" width="4.5703125" style="6" customWidth="1"/>
    <col min="24" max="16384" width="9.140625" style="6"/>
  </cols>
  <sheetData>
    <row r="1" spans="1:23" ht="57.75" x14ac:dyDescent="0.25">
      <c r="A1" s="1" t="s">
        <v>0</v>
      </c>
      <c r="B1" s="1" t="s">
        <v>1</v>
      </c>
      <c r="C1" s="1"/>
      <c r="D1" s="2" t="s">
        <v>2</v>
      </c>
      <c r="E1" s="3" t="s">
        <v>3</v>
      </c>
      <c r="F1" s="3" t="s">
        <v>4</v>
      </c>
      <c r="G1" s="4" t="s">
        <v>5</v>
      </c>
      <c r="H1" s="3"/>
      <c r="I1" s="3"/>
      <c r="J1" s="3"/>
      <c r="K1" s="3"/>
      <c r="L1" s="3"/>
      <c r="M1" s="4"/>
      <c r="N1" s="4"/>
      <c r="O1" s="4"/>
      <c r="P1" s="4"/>
      <c r="Q1" s="5"/>
      <c r="R1" s="5"/>
      <c r="S1" s="5"/>
      <c r="T1" s="5"/>
      <c r="U1" s="5"/>
      <c r="V1" s="5"/>
      <c r="W1" s="5"/>
    </row>
    <row r="2" spans="1:23" x14ac:dyDescent="0.25">
      <c r="A2" s="1"/>
      <c r="B2" s="1"/>
      <c r="C2" s="1"/>
      <c r="D2" s="7">
        <v>30</v>
      </c>
      <c r="E2" s="5">
        <v>30</v>
      </c>
      <c r="F2" s="5">
        <v>15</v>
      </c>
      <c r="G2" s="5">
        <v>15</v>
      </c>
      <c r="H2" s="5">
        <f>D2*3.1+E2*2.1+F2*1.1+G2*1.1</f>
        <v>189</v>
      </c>
      <c r="I2" s="8">
        <f>H2/189</f>
        <v>1</v>
      </c>
      <c r="J2" s="5"/>
      <c r="K2" s="5"/>
      <c r="L2" s="5"/>
      <c r="M2" s="7"/>
      <c r="N2" s="5"/>
      <c r="O2" s="5"/>
      <c r="P2" s="4"/>
      <c r="Q2" s="5"/>
      <c r="R2" s="5"/>
      <c r="S2" s="5"/>
      <c r="T2" s="5"/>
      <c r="U2" s="5"/>
      <c r="V2" s="5"/>
      <c r="W2" s="5"/>
    </row>
    <row r="3" spans="1:23" x14ac:dyDescent="0.25">
      <c r="A3" s="5">
        <v>1</v>
      </c>
      <c r="B3" s="5" t="s">
        <v>8</v>
      </c>
      <c r="C3" s="5" t="s">
        <v>7</v>
      </c>
      <c r="D3" s="5">
        <v>30</v>
      </c>
      <c r="E3" s="5">
        <v>29.9</v>
      </c>
      <c r="F3" s="5">
        <v>14</v>
      </c>
      <c r="G3" s="7">
        <v>15</v>
      </c>
      <c r="H3" s="5">
        <f>D3*3.1+E3*2.1+F3*1.1+G3*1.1</f>
        <v>187.69</v>
      </c>
      <c r="I3" s="8">
        <f t="shared" ref="I3:I17" si="0">H3/189</f>
        <v>0.9930687830687831</v>
      </c>
      <c r="J3" s="5"/>
      <c r="K3" s="5"/>
      <c r="L3" s="5"/>
      <c r="M3" s="7"/>
      <c r="N3" s="5"/>
      <c r="O3" s="5"/>
      <c r="P3" s="7"/>
      <c r="Q3" s="5"/>
      <c r="R3" s="5"/>
      <c r="S3" s="5"/>
      <c r="T3" s="5"/>
      <c r="U3" s="5"/>
      <c r="V3" s="5"/>
      <c r="W3" s="5"/>
    </row>
    <row r="4" spans="1:23" x14ac:dyDescent="0.25">
      <c r="A4" s="5">
        <v>2</v>
      </c>
      <c r="B4" s="5" t="s">
        <v>6</v>
      </c>
      <c r="C4" s="5" t="s">
        <v>7</v>
      </c>
      <c r="D4" s="7">
        <v>30</v>
      </c>
      <c r="E4" s="5">
        <v>30</v>
      </c>
      <c r="F4" s="5">
        <v>12</v>
      </c>
      <c r="G4" s="7">
        <v>15</v>
      </c>
      <c r="H4" s="5">
        <f>D4*3.1+E4*2.1+F4*1.1+G4*1.1</f>
        <v>185.7</v>
      </c>
      <c r="I4" s="8">
        <f t="shared" si="0"/>
        <v>0.98253968253968249</v>
      </c>
      <c r="J4" s="5"/>
      <c r="K4" s="5"/>
      <c r="L4" s="5"/>
      <c r="M4" s="7"/>
      <c r="N4" s="5"/>
      <c r="O4" s="5"/>
      <c r="P4" s="7"/>
      <c r="Q4" s="5"/>
      <c r="R4" s="5"/>
      <c r="S4" s="5"/>
      <c r="T4" s="5"/>
      <c r="U4" s="5"/>
      <c r="V4" s="5"/>
      <c r="W4" s="5"/>
    </row>
    <row r="5" spans="1:23" x14ac:dyDescent="0.25">
      <c r="A5" s="5">
        <v>3</v>
      </c>
      <c r="B5" s="5" t="s">
        <v>10</v>
      </c>
      <c r="C5" s="5" t="s">
        <v>7</v>
      </c>
      <c r="D5" s="7">
        <v>30</v>
      </c>
      <c r="E5" s="5">
        <v>30</v>
      </c>
      <c r="F5" s="5">
        <v>11</v>
      </c>
      <c r="G5" s="7">
        <v>15</v>
      </c>
      <c r="H5" s="5">
        <f>D5*3.1+E5*2.1+F5*1.1+G5*1.1</f>
        <v>184.6</v>
      </c>
      <c r="I5" s="8">
        <f t="shared" si="0"/>
        <v>0.97671957671957665</v>
      </c>
      <c r="J5" s="5"/>
      <c r="K5" s="5"/>
      <c r="L5" s="5"/>
      <c r="M5" s="7"/>
      <c r="N5" s="5"/>
      <c r="O5" s="5"/>
      <c r="P5" s="7"/>
      <c r="Q5" s="5"/>
      <c r="R5" s="5"/>
      <c r="S5" s="5"/>
      <c r="T5" s="5"/>
      <c r="U5" s="5"/>
      <c r="V5" s="5"/>
      <c r="W5" s="5"/>
    </row>
    <row r="6" spans="1:23" x14ac:dyDescent="0.25">
      <c r="A6" s="5">
        <v>4</v>
      </c>
      <c r="B6" s="5" t="s">
        <v>15</v>
      </c>
      <c r="C6" s="5" t="s">
        <v>7</v>
      </c>
      <c r="D6" s="7">
        <v>30</v>
      </c>
      <c r="E6" s="5">
        <v>30</v>
      </c>
      <c r="F6" s="5">
        <v>9</v>
      </c>
      <c r="G6" s="7">
        <v>8</v>
      </c>
      <c r="H6" s="5">
        <f>D6*3.1+E6*2.1+F6*1.1+G6*1.1</f>
        <v>174.70000000000002</v>
      </c>
      <c r="I6" s="8">
        <f t="shared" si="0"/>
        <v>0.92433862433862446</v>
      </c>
      <c r="J6" s="5"/>
      <c r="K6" s="5"/>
      <c r="L6" s="5"/>
      <c r="M6" s="7"/>
      <c r="N6" s="5"/>
      <c r="O6" s="5"/>
      <c r="P6" s="7"/>
      <c r="Q6" s="5"/>
      <c r="R6" s="5"/>
      <c r="S6" s="5"/>
      <c r="T6" s="5"/>
      <c r="U6" s="5"/>
      <c r="V6" s="5"/>
      <c r="W6" s="5"/>
    </row>
    <row r="7" spans="1:23" x14ac:dyDescent="0.25">
      <c r="A7" s="5">
        <v>5</v>
      </c>
      <c r="B7" s="5" t="s">
        <v>12</v>
      </c>
      <c r="C7" s="5" t="s">
        <v>13</v>
      </c>
      <c r="D7" s="5">
        <v>29.9</v>
      </c>
      <c r="E7" s="5">
        <v>30</v>
      </c>
      <c r="F7" s="5">
        <v>13</v>
      </c>
      <c r="G7" s="7">
        <v>4</v>
      </c>
      <c r="H7" s="5">
        <f>D7*3.1+E7*2.1+F7*1.1+G7*1.1</f>
        <v>174.39000000000001</v>
      </c>
      <c r="I7" s="8">
        <f t="shared" si="0"/>
        <v>0.9226984126984128</v>
      </c>
      <c r="J7" s="5"/>
      <c r="K7" s="5"/>
      <c r="L7" s="5"/>
      <c r="M7" s="7"/>
      <c r="N7" s="5"/>
      <c r="O7" s="5"/>
      <c r="P7" s="7"/>
      <c r="Q7" s="5"/>
      <c r="R7" s="5"/>
      <c r="S7" s="5"/>
      <c r="T7" s="5"/>
      <c r="U7" s="5"/>
      <c r="V7" s="5"/>
      <c r="W7" s="5"/>
    </row>
    <row r="8" spans="1:23" x14ac:dyDescent="0.25">
      <c r="A8" s="5">
        <v>6</v>
      </c>
      <c r="B8" s="5" t="s">
        <v>11</v>
      </c>
      <c r="C8" s="5" t="s">
        <v>7</v>
      </c>
      <c r="D8" s="7">
        <v>30</v>
      </c>
      <c r="E8" s="5">
        <v>29.9</v>
      </c>
      <c r="F8" s="5">
        <v>9</v>
      </c>
      <c r="G8" s="7">
        <v>7</v>
      </c>
      <c r="H8" s="5">
        <f>D8*3.1+E8*2.1+F8*1.1+G8*1.1</f>
        <v>173.39</v>
      </c>
      <c r="I8" s="8">
        <f t="shared" si="0"/>
        <v>0.91740740740740734</v>
      </c>
      <c r="J8" s="5"/>
      <c r="K8" s="5"/>
      <c r="L8" s="5"/>
      <c r="M8" s="7"/>
      <c r="N8" s="5"/>
      <c r="O8" s="5"/>
      <c r="P8" s="7"/>
      <c r="Q8" s="5"/>
      <c r="R8" s="5"/>
      <c r="S8" s="5"/>
      <c r="T8" s="5"/>
      <c r="U8" s="5"/>
      <c r="V8" s="5"/>
      <c r="W8" s="5"/>
    </row>
    <row r="9" spans="1:23" x14ac:dyDescent="0.25">
      <c r="A9" s="5">
        <v>7</v>
      </c>
      <c r="B9" s="5" t="s">
        <v>9</v>
      </c>
      <c r="C9" s="5" t="s">
        <v>7</v>
      </c>
      <c r="D9" s="7">
        <v>30</v>
      </c>
      <c r="E9" s="5">
        <v>30</v>
      </c>
      <c r="F9" s="5"/>
      <c r="G9" s="7">
        <v>15</v>
      </c>
      <c r="H9" s="5">
        <f>D9*3.1+E9*2.1+F9*1.1+G9*1.1</f>
        <v>172.5</v>
      </c>
      <c r="I9" s="8">
        <f t="shared" si="0"/>
        <v>0.91269841269841268</v>
      </c>
      <c r="J9" s="5"/>
      <c r="K9" s="5"/>
      <c r="L9" s="5"/>
      <c r="M9" s="7"/>
      <c r="N9" s="5"/>
      <c r="O9" s="5"/>
      <c r="P9" s="7"/>
      <c r="Q9" s="5"/>
      <c r="R9" s="5"/>
      <c r="S9" s="5"/>
      <c r="T9" s="5"/>
      <c r="U9" s="5"/>
      <c r="V9" s="5"/>
      <c r="W9" s="5"/>
    </row>
    <row r="10" spans="1:23" x14ac:dyDescent="0.25">
      <c r="A10" s="5">
        <v>8</v>
      </c>
      <c r="B10" s="5" t="s">
        <v>14</v>
      </c>
      <c r="C10" s="5" t="s">
        <v>7</v>
      </c>
      <c r="D10" s="5">
        <v>30</v>
      </c>
      <c r="E10" s="5">
        <v>27.4</v>
      </c>
      <c r="F10" s="5"/>
      <c r="G10" s="7">
        <v>15</v>
      </c>
      <c r="H10" s="5">
        <f>D10*3.1+E10*2.1+F10*1.1+G10*1.1</f>
        <v>167.04</v>
      </c>
      <c r="I10" s="8">
        <f t="shared" si="0"/>
        <v>0.88380952380952382</v>
      </c>
      <c r="J10" s="5"/>
      <c r="K10" s="5"/>
      <c r="L10" s="5"/>
      <c r="M10" s="7"/>
      <c r="N10" s="5"/>
      <c r="O10" s="5"/>
      <c r="P10" s="7"/>
      <c r="Q10" s="5"/>
      <c r="R10" s="5"/>
      <c r="S10" s="5"/>
      <c r="T10" s="5"/>
      <c r="U10" s="5"/>
      <c r="V10" s="5"/>
      <c r="W10" s="5"/>
    </row>
    <row r="11" spans="1:23" x14ac:dyDescent="0.25">
      <c r="A11" s="5">
        <v>9</v>
      </c>
      <c r="B11" s="5" t="s">
        <v>16</v>
      </c>
      <c r="C11" s="5" t="s">
        <v>7</v>
      </c>
      <c r="D11" s="7">
        <v>30</v>
      </c>
      <c r="E11" s="5">
        <v>28</v>
      </c>
      <c r="F11" s="5">
        <v>7</v>
      </c>
      <c r="G11" s="7">
        <v>5</v>
      </c>
      <c r="H11" s="5">
        <f>D11*3.1+E11*2.1+F11*1.1+G11*1.1</f>
        <v>165</v>
      </c>
      <c r="I11" s="8">
        <f t="shared" si="0"/>
        <v>0.87301587301587302</v>
      </c>
      <c r="J11" s="5"/>
      <c r="K11" s="5"/>
      <c r="L11" s="5"/>
      <c r="M11" s="7"/>
      <c r="N11" s="5"/>
      <c r="O11" s="5"/>
      <c r="P11" s="7"/>
      <c r="Q11" s="5"/>
      <c r="R11" s="5"/>
      <c r="S11" s="5"/>
      <c r="T11" s="5"/>
      <c r="U11" s="5"/>
      <c r="V11" s="5"/>
      <c r="W11" s="5"/>
    </row>
    <row r="12" spans="1:23" x14ac:dyDescent="0.25">
      <c r="A12" s="5">
        <v>10</v>
      </c>
      <c r="B12" s="5" t="s">
        <v>18</v>
      </c>
      <c r="C12" s="5" t="s">
        <v>7</v>
      </c>
      <c r="D12" s="7">
        <v>21</v>
      </c>
      <c r="E12" s="5">
        <v>25</v>
      </c>
      <c r="F12" s="5">
        <v>14</v>
      </c>
      <c r="G12" s="7">
        <v>15</v>
      </c>
      <c r="H12" s="5">
        <f>D12*3.1+E12*2.1+F12*1.1+G12*1.1</f>
        <v>149.5</v>
      </c>
      <c r="I12" s="8">
        <f t="shared" si="0"/>
        <v>0.79100529100529104</v>
      </c>
      <c r="J12" s="5"/>
      <c r="K12" s="5"/>
      <c r="L12" s="5"/>
      <c r="M12" s="7"/>
      <c r="N12" s="5"/>
      <c r="O12" s="5"/>
      <c r="P12" s="7"/>
      <c r="Q12" s="5"/>
      <c r="R12" s="5"/>
      <c r="S12" s="5"/>
      <c r="T12" s="5"/>
      <c r="U12" s="5"/>
      <c r="V12" s="5"/>
      <c r="W12" s="5"/>
    </row>
    <row r="13" spans="1:23" x14ac:dyDescent="0.25">
      <c r="A13" s="5">
        <v>11</v>
      </c>
      <c r="B13" s="5" t="s">
        <v>17</v>
      </c>
      <c r="C13" s="5" t="s">
        <v>7</v>
      </c>
      <c r="D13" s="7">
        <v>18</v>
      </c>
      <c r="E13" s="5">
        <v>25.46</v>
      </c>
      <c r="F13" s="5">
        <v>11</v>
      </c>
      <c r="G13" s="7">
        <v>15</v>
      </c>
      <c r="H13" s="5">
        <f>D13*3.1+E13*2.1+F13*1.1+G13*1.1</f>
        <v>137.86600000000001</v>
      </c>
      <c r="I13" s="8">
        <f t="shared" si="0"/>
        <v>0.72944973544973557</v>
      </c>
      <c r="J13" s="5"/>
      <c r="K13" s="5"/>
      <c r="L13" s="5"/>
      <c r="M13" s="7"/>
      <c r="N13" s="5"/>
      <c r="O13" s="5"/>
      <c r="P13" s="7"/>
      <c r="Q13" s="5"/>
      <c r="R13" s="5"/>
      <c r="S13" s="5"/>
      <c r="T13" s="5"/>
      <c r="U13" s="5"/>
      <c r="V13" s="5"/>
      <c r="W13" s="5"/>
    </row>
    <row r="14" spans="1:23" x14ac:dyDescent="0.25">
      <c r="A14" s="5">
        <v>12</v>
      </c>
      <c r="B14" s="5" t="s">
        <v>19</v>
      </c>
      <c r="C14" s="5" t="s">
        <v>13</v>
      </c>
      <c r="D14" s="7">
        <v>24</v>
      </c>
      <c r="E14" s="5">
        <v>30</v>
      </c>
      <c r="F14" s="5"/>
      <c r="G14" s="7"/>
      <c r="H14" s="5">
        <f>D14*3.1+E14*2.1+F14*1.1+G14*1.1</f>
        <v>137.4</v>
      </c>
      <c r="I14" s="8">
        <f t="shared" si="0"/>
        <v>0.72698412698412707</v>
      </c>
      <c r="J14" s="5"/>
      <c r="K14" s="5"/>
      <c r="L14" s="5"/>
      <c r="M14" s="7"/>
      <c r="N14" s="5"/>
      <c r="O14" s="5"/>
      <c r="P14" s="7"/>
      <c r="Q14" s="5"/>
      <c r="R14" s="5"/>
      <c r="S14" s="5"/>
      <c r="T14" s="5"/>
      <c r="U14" s="5"/>
      <c r="V14" s="5"/>
      <c r="W14" s="5"/>
    </row>
    <row r="15" spans="1:23" x14ac:dyDescent="0.25">
      <c r="A15" s="5">
        <v>13</v>
      </c>
      <c r="B15" s="5" t="s">
        <v>21</v>
      </c>
      <c r="C15" s="5" t="s">
        <v>7</v>
      </c>
      <c r="D15" s="7">
        <v>17</v>
      </c>
      <c r="E15" s="5">
        <v>26.8</v>
      </c>
      <c r="F15" s="5">
        <v>8</v>
      </c>
      <c r="G15" s="7">
        <v>15</v>
      </c>
      <c r="H15" s="5">
        <f>D15*3.1+E15*2.1+F15*1.1+G15*1.1</f>
        <v>134.28</v>
      </c>
      <c r="I15" s="8">
        <f t="shared" si="0"/>
        <v>0.71047619047619048</v>
      </c>
      <c r="J15" s="5"/>
      <c r="K15" s="5"/>
      <c r="L15" s="5"/>
      <c r="M15" s="7"/>
      <c r="N15" s="5"/>
      <c r="O15" s="5"/>
      <c r="P15" s="7"/>
      <c r="Q15" s="5"/>
      <c r="R15" s="5"/>
      <c r="S15" s="5"/>
      <c r="T15" s="5"/>
      <c r="U15" s="5"/>
      <c r="V15" s="5"/>
      <c r="W15" s="5"/>
    </row>
    <row r="16" spans="1:23" x14ac:dyDescent="0.25">
      <c r="A16" s="5">
        <v>14</v>
      </c>
      <c r="B16" s="5" t="s">
        <v>20</v>
      </c>
      <c r="C16" s="5" t="s">
        <v>7</v>
      </c>
      <c r="D16" s="7">
        <v>16</v>
      </c>
      <c r="E16" s="5">
        <v>26</v>
      </c>
      <c r="F16" s="5">
        <v>10</v>
      </c>
      <c r="G16" s="7">
        <v>15</v>
      </c>
      <c r="H16" s="5">
        <f>D16*3.1+E16*2.1+F16*1.1+G16*1.1</f>
        <v>131.69999999999999</v>
      </c>
      <c r="I16" s="8">
        <f t="shared" si="0"/>
        <v>0.69682539682539679</v>
      </c>
      <c r="J16" s="5"/>
      <c r="K16" s="5"/>
      <c r="L16" s="5"/>
      <c r="M16" s="7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5">
      <c r="A17" s="5">
        <v>15</v>
      </c>
      <c r="B17" s="5" t="s">
        <v>22</v>
      </c>
      <c r="C17" s="5" t="s">
        <v>7</v>
      </c>
      <c r="D17" s="7"/>
      <c r="E17" s="5"/>
      <c r="F17" s="5"/>
      <c r="G17" s="7"/>
      <c r="H17" s="5">
        <f>D17*3.1+E17*2.1+F17*1.1+G17*1.1</f>
        <v>0</v>
      </c>
      <c r="I17" s="8">
        <f t="shared" si="0"/>
        <v>0</v>
      </c>
      <c r="J17" s="5"/>
      <c r="K17" s="5"/>
      <c r="L17" s="5"/>
      <c r="M17" s="7"/>
      <c r="N17" s="5"/>
      <c r="O17" s="5"/>
      <c r="P17" s="7"/>
      <c r="Q17" s="5"/>
      <c r="R17" s="5"/>
      <c r="S17" s="5"/>
      <c r="T17" s="5"/>
      <c r="U17" s="5"/>
      <c r="V17" s="5"/>
      <c r="W17" s="5"/>
    </row>
    <row r="18" spans="1:2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6E94-094A-4B84-B546-62BA58DB6662}">
  <dimension ref="A1:X25"/>
  <sheetViews>
    <sheetView workbookViewId="0">
      <selection activeCell="H2" sqref="H2:H18"/>
    </sheetView>
  </sheetViews>
  <sheetFormatPr defaultRowHeight="15" x14ac:dyDescent="0.25"/>
  <cols>
    <col min="1" max="1" width="4.85546875" style="6" customWidth="1"/>
    <col min="2" max="2" width="20.42578125" style="6" customWidth="1"/>
    <col min="3" max="3" width="6.7109375" style="6" customWidth="1"/>
    <col min="4" max="4" width="5.42578125" style="6" customWidth="1"/>
    <col min="5" max="6" width="4.42578125" style="6" customWidth="1"/>
    <col min="7" max="7" width="4.7109375" style="6" customWidth="1"/>
    <col min="8" max="8" width="5.85546875" style="6" bestFit="1" customWidth="1"/>
    <col min="9" max="10" width="4.42578125" style="6" customWidth="1"/>
    <col min="11" max="11" width="4.28515625" style="6" customWidth="1"/>
    <col min="12" max="12" width="4.7109375" style="6" customWidth="1"/>
    <col min="13" max="13" width="4.42578125" style="6" customWidth="1"/>
    <col min="14" max="14" width="5.42578125" style="6" customWidth="1"/>
    <col min="15" max="15" width="4.5703125" style="6" customWidth="1"/>
    <col min="16" max="16" width="4.28515625" style="6" customWidth="1"/>
    <col min="17" max="17" width="4.5703125" style="6" customWidth="1"/>
    <col min="18" max="18" width="4.42578125" style="6" customWidth="1"/>
    <col min="19" max="20" width="4.7109375" style="6" customWidth="1"/>
    <col min="21" max="21" width="4.42578125" style="6" customWidth="1"/>
    <col min="22" max="22" width="4.5703125" style="6" customWidth="1"/>
    <col min="23" max="23" width="4.28515625" style="6" customWidth="1"/>
    <col min="24" max="24" width="4.5703125" style="6" customWidth="1"/>
    <col min="25" max="16384" width="9.140625" style="6"/>
  </cols>
  <sheetData>
    <row r="1" spans="1:24" ht="39.75" x14ac:dyDescent="0.25">
      <c r="A1" s="1" t="s">
        <v>23</v>
      </c>
      <c r="B1" s="1" t="s">
        <v>1</v>
      </c>
      <c r="C1" s="1"/>
      <c r="D1" s="2" t="s">
        <v>2</v>
      </c>
      <c r="E1" s="3" t="s">
        <v>3</v>
      </c>
      <c r="F1" s="3" t="s">
        <v>24</v>
      </c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x14ac:dyDescent="0.25">
      <c r="A2" s="1"/>
      <c r="B2" s="1"/>
      <c r="C2" s="1"/>
      <c r="D2" s="7">
        <v>30</v>
      </c>
      <c r="E2" s="5">
        <v>30</v>
      </c>
      <c r="F2" s="5">
        <v>30</v>
      </c>
      <c r="G2" s="5">
        <f>D2*3.1+E2*2.1+F2*1.1</f>
        <v>189</v>
      </c>
      <c r="H2" s="8">
        <f>G2/189</f>
        <v>1</v>
      </c>
      <c r="I2" s="5"/>
      <c r="J2" s="5"/>
      <c r="K2" s="5"/>
      <c r="L2" s="5"/>
      <c r="M2" s="5"/>
      <c r="N2" s="7"/>
      <c r="O2" s="5"/>
      <c r="P2" s="5"/>
      <c r="Q2" s="4"/>
      <c r="R2" s="5"/>
      <c r="S2" s="5"/>
      <c r="T2" s="5"/>
      <c r="U2" s="5"/>
      <c r="V2" s="5"/>
      <c r="W2" s="5"/>
      <c r="X2" s="5"/>
    </row>
    <row r="3" spans="1:24" x14ac:dyDescent="0.25">
      <c r="A3" s="5">
        <v>1</v>
      </c>
      <c r="B3" s="5" t="s">
        <v>25</v>
      </c>
      <c r="C3" s="5" t="s">
        <v>7</v>
      </c>
      <c r="D3" s="7">
        <v>30</v>
      </c>
      <c r="E3" s="5">
        <v>30</v>
      </c>
      <c r="F3" s="5">
        <v>29</v>
      </c>
      <c r="G3" s="5">
        <f>D3*3.1+E3*2.1+F3*1.1</f>
        <v>187.9</v>
      </c>
      <c r="H3" s="8">
        <f t="shared" ref="H3:H18" si="0">G3/189</f>
        <v>0.99417989417989416</v>
      </c>
      <c r="I3" s="5"/>
      <c r="J3" s="5"/>
      <c r="K3" s="5"/>
      <c r="L3" s="5"/>
      <c r="M3" s="5"/>
      <c r="N3" s="7"/>
      <c r="O3" s="5"/>
      <c r="P3" s="5"/>
      <c r="Q3" s="7"/>
      <c r="R3" s="5"/>
      <c r="S3" s="5"/>
      <c r="T3" s="5"/>
      <c r="U3" s="5"/>
      <c r="V3" s="5"/>
      <c r="W3" s="5"/>
      <c r="X3" s="5"/>
    </row>
    <row r="4" spans="1:24" x14ac:dyDescent="0.25">
      <c r="A4" s="5">
        <v>2</v>
      </c>
      <c r="B4" s="5" t="s">
        <v>31</v>
      </c>
      <c r="C4" s="5" t="s">
        <v>7</v>
      </c>
      <c r="D4" s="7">
        <v>30</v>
      </c>
      <c r="E4" s="5">
        <v>29</v>
      </c>
      <c r="F4" s="5">
        <v>13</v>
      </c>
      <c r="G4" s="5">
        <f>D4*3.1+E4*2.1+F4*1.1</f>
        <v>168.20000000000002</v>
      </c>
      <c r="H4" s="8">
        <f t="shared" si="0"/>
        <v>0.88994708994709004</v>
      </c>
      <c r="I4" s="5"/>
      <c r="J4" s="5"/>
      <c r="K4" s="5"/>
      <c r="L4" s="5"/>
      <c r="M4" s="5"/>
      <c r="N4" s="7"/>
      <c r="O4" s="5"/>
      <c r="P4" s="5"/>
      <c r="Q4" s="7"/>
      <c r="R4" s="5"/>
      <c r="S4" s="5"/>
      <c r="T4" s="5"/>
      <c r="U4" s="5"/>
      <c r="V4" s="5"/>
      <c r="W4" s="5"/>
      <c r="X4" s="5"/>
    </row>
    <row r="5" spans="1:24" x14ac:dyDescent="0.25">
      <c r="A5" s="5">
        <v>3</v>
      </c>
      <c r="B5" s="5" t="s">
        <v>28</v>
      </c>
      <c r="C5" s="5" t="s">
        <v>7</v>
      </c>
      <c r="D5" s="7">
        <v>30</v>
      </c>
      <c r="E5" s="5">
        <v>30</v>
      </c>
      <c r="F5" s="5">
        <v>10</v>
      </c>
      <c r="G5" s="5">
        <f>D5*3.1+E5*2.1+F5*1.1</f>
        <v>167</v>
      </c>
      <c r="H5" s="8">
        <f t="shared" si="0"/>
        <v>0.8835978835978836</v>
      </c>
      <c r="I5" s="5"/>
      <c r="J5" s="5"/>
      <c r="K5" s="5"/>
      <c r="L5" s="5"/>
      <c r="M5" s="5"/>
      <c r="N5" s="7"/>
      <c r="O5" s="5"/>
      <c r="P5" s="5"/>
      <c r="Q5" s="7"/>
      <c r="R5" s="5"/>
      <c r="S5" s="5"/>
      <c r="T5" s="5"/>
      <c r="U5" s="5"/>
      <c r="V5" s="5"/>
      <c r="W5" s="5"/>
      <c r="X5" s="5"/>
    </row>
    <row r="6" spans="1:24" x14ac:dyDescent="0.25">
      <c r="A6" s="5">
        <v>4</v>
      </c>
      <c r="B6" s="5" t="s">
        <v>29</v>
      </c>
      <c r="C6" s="5" t="s">
        <v>7</v>
      </c>
      <c r="D6" s="7">
        <v>30</v>
      </c>
      <c r="E6" s="5">
        <v>27.7</v>
      </c>
      <c r="F6" s="5">
        <v>9</v>
      </c>
      <c r="G6" s="5">
        <f>D6*3.1+E6*2.1+F6*1.1</f>
        <v>161.07000000000002</v>
      </c>
      <c r="H6" s="8">
        <f t="shared" si="0"/>
        <v>0.85222222222222233</v>
      </c>
      <c r="I6" s="5"/>
      <c r="J6" s="5"/>
      <c r="K6" s="5"/>
      <c r="L6" s="5"/>
      <c r="M6" s="5"/>
      <c r="N6" s="7"/>
      <c r="O6" s="5"/>
      <c r="P6" s="5"/>
      <c r="Q6" s="7"/>
      <c r="R6" s="5"/>
      <c r="S6" s="5"/>
      <c r="T6" s="5"/>
      <c r="U6" s="5"/>
      <c r="V6" s="5"/>
      <c r="W6" s="5"/>
      <c r="X6" s="5"/>
    </row>
    <row r="7" spans="1:24" x14ac:dyDescent="0.25">
      <c r="A7" s="5">
        <v>5</v>
      </c>
      <c r="B7" s="5" t="s">
        <v>38</v>
      </c>
      <c r="C7" s="5" t="s">
        <v>7</v>
      </c>
      <c r="D7" s="5">
        <v>22</v>
      </c>
      <c r="E7" s="5">
        <v>28.5</v>
      </c>
      <c r="F7" s="5">
        <v>30</v>
      </c>
      <c r="G7" s="5">
        <f>D7*3.1+E7*2.1+F7*1.1</f>
        <v>161.05000000000001</v>
      </c>
      <c r="H7" s="8">
        <f t="shared" si="0"/>
        <v>0.85211640211640216</v>
      </c>
      <c r="I7" s="5"/>
      <c r="J7" s="5"/>
      <c r="K7" s="5"/>
      <c r="L7" s="5"/>
      <c r="M7" s="5"/>
      <c r="N7" s="7"/>
      <c r="O7" s="5"/>
      <c r="P7" s="5"/>
      <c r="Q7" s="7"/>
      <c r="R7" s="5"/>
      <c r="S7" s="5"/>
      <c r="T7" s="5"/>
      <c r="U7" s="5"/>
      <c r="V7" s="5"/>
      <c r="W7" s="5"/>
      <c r="X7" s="5"/>
    </row>
    <row r="8" spans="1:24" x14ac:dyDescent="0.25">
      <c r="A8" s="5">
        <v>6</v>
      </c>
      <c r="B8" s="5" t="s">
        <v>27</v>
      </c>
      <c r="C8" s="5" t="s">
        <v>7</v>
      </c>
      <c r="D8" s="5">
        <v>30</v>
      </c>
      <c r="E8" s="5">
        <v>27</v>
      </c>
      <c r="F8" s="5">
        <v>9</v>
      </c>
      <c r="G8" s="5">
        <f>D8*3.1+E8*2.1+F8*1.1</f>
        <v>159.6</v>
      </c>
      <c r="H8" s="8">
        <f t="shared" si="0"/>
        <v>0.84444444444444444</v>
      </c>
      <c r="I8" s="5"/>
      <c r="J8" s="5"/>
      <c r="K8" s="5"/>
      <c r="L8" s="5"/>
      <c r="M8" s="5"/>
      <c r="N8" s="7"/>
      <c r="O8" s="5"/>
      <c r="P8" s="5"/>
      <c r="Q8" s="7"/>
      <c r="R8" s="5"/>
      <c r="S8" s="5"/>
      <c r="T8" s="5"/>
      <c r="U8" s="5"/>
      <c r="V8" s="5"/>
      <c r="W8" s="5"/>
      <c r="X8" s="5"/>
    </row>
    <row r="9" spans="1:24" x14ac:dyDescent="0.25">
      <c r="A9" s="5">
        <v>7</v>
      </c>
      <c r="B9" s="5" t="s">
        <v>30</v>
      </c>
      <c r="C9" s="5" t="s">
        <v>7</v>
      </c>
      <c r="D9" s="7">
        <v>30</v>
      </c>
      <c r="E9" s="5">
        <v>23</v>
      </c>
      <c r="F9" s="5">
        <v>12</v>
      </c>
      <c r="G9" s="5">
        <f>D9*3.1+E9*2.1+F9*1.1</f>
        <v>154.5</v>
      </c>
      <c r="H9" s="8">
        <f t="shared" si="0"/>
        <v>0.81746031746031744</v>
      </c>
      <c r="I9" s="5"/>
      <c r="J9" s="5"/>
      <c r="K9" s="5"/>
      <c r="L9" s="5"/>
      <c r="M9" s="5"/>
      <c r="N9" s="7"/>
      <c r="O9" s="5"/>
      <c r="P9" s="5"/>
      <c r="Q9" s="7"/>
      <c r="R9" s="5"/>
      <c r="S9" s="5"/>
      <c r="T9" s="5"/>
      <c r="U9" s="5"/>
      <c r="V9" s="5"/>
      <c r="W9" s="5"/>
      <c r="X9" s="5"/>
    </row>
    <row r="10" spans="1:24" x14ac:dyDescent="0.25">
      <c r="A10" s="5">
        <v>8</v>
      </c>
      <c r="B10" s="5" t="s">
        <v>34</v>
      </c>
      <c r="C10" s="5" t="s">
        <v>7</v>
      </c>
      <c r="D10" s="7">
        <v>23</v>
      </c>
      <c r="E10" s="5">
        <v>29</v>
      </c>
      <c r="F10" s="5">
        <v>10</v>
      </c>
      <c r="G10" s="5">
        <f>D10*3.1+E10*2.1+F10*1.1</f>
        <v>143.19999999999999</v>
      </c>
      <c r="H10" s="8">
        <f t="shared" si="0"/>
        <v>0.75767195767195761</v>
      </c>
      <c r="I10" s="5"/>
      <c r="J10" s="5"/>
      <c r="K10" s="5"/>
      <c r="L10" s="5"/>
      <c r="M10" s="5"/>
      <c r="N10" s="7"/>
      <c r="O10" s="5"/>
      <c r="P10" s="5"/>
      <c r="Q10" s="7"/>
      <c r="R10" s="5"/>
      <c r="S10" s="5"/>
      <c r="T10" s="5"/>
      <c r="U10" s="5"/>
      <c r="V10" s="5"/>
      <c r="W10" s="5"/>
      <c r="X10" s="5"/>
    </row>
    <row r="11" spans="1:24" x14ac:dyDescent="0.25">
      <c r="A11" s="5">
        <v>9</v>
      </c>
      <c r="B11" s="5" t="s">
        <v>33</v>
      </c>
      <c r="C11" s="5" t="s">
        <v>7</v>
      </c>
      <c r="D11" s="7">
        <v>21</v>
      </c>
      <c r="E11" s="5">
        <v>29</v>
      </c>
      <c r="F11" s="5">
        <v>13</v>
      </c>
      <c r="G11" s="5">
        <f>D11*3.1+E11*2.1+F11*1.1</f>
        <v>140.30000000000001</v>
      </c>
      <c r="H11" s="8">
        <f t="shared" si="0"/>
        <v>0.74232804232804239</v>
      </c>
      <c r="I11" s="5"/>
      <c r="J11" s="5"/>
      <c r="K11" s="5"/>
      <c r="L11" s="5"/>
      <c r="M11" s="5"/>
      <c r="N11" s="7"/>
      <c r="O11" s="5"/>
      <c r="P11" s="5"/>
      <c r="Q11" s="7"/>
      <c r="R11" s="5"/>
      <c r="S11" s="5"/>
      <c r="T11" s="5"/>
      <c r="U11" s="5"/>
      <c r="V11" s="5"/>
      <c r="W11" s="5"/>
      <c r="X11" s="5"/>
    </row>
    <row r="12" spans="1:24" x14ac:dyDescent="0.25">
      <c r="A12" s="5">
        <v>10</v>
      </c>
      <c r="B12" s="5" t="s">
        <v>39</v>
      </c>
      <c r="C12" s="5" t="s">
        <v>7</v>
      </c>
      <c r="D12" s="7">
        <v>20</v>
      </c>
      <c r="E12" s="5">
        <v>30</v>
      </c>
      <c r="F12" s="5">
        <v>9</v>
      </c>
      <c r="G12" s="5">
        <f>D12*3.1+E12*2.1+F12*1.1</f>
        <v>134.9</v>
      </c>
      <c r="H12" s="8">
        <f t="shared" si="0"/>
        <v>0.71375661375661381</v>
      </c>
      <c r="I12" s="5"/>
      <c r="J12" s="5"/>
      <c r="K12" s="5"/>
      <c r="L12" s="5"/>
      <c r="M12" s="5"/>
      <c r="N12" s="7"/>
      <c r="O12" s="5"/>
      <c r="P12" s="5"/>
      <c r="Q12" s="7"/>
      <c r="R12" s="5"/>
      <c r="S12" s="5"/>
      <c r="T12" s="5"/>
      <c r="U12" s="5"/>
      <c r="V12" s="5"/>
      <c r="W12" s="5"/>
      <c r="X12" s="5"/>
    </row>
    <row r="13" spans="1:24" x14ac:dyDescent="0.25">
      <c r="A13" s="5">
        <v>11</v>
      </c>
      <c r="B13" s="5" t="s">
        <v>32</v>
      </c>
      <c r="C13" s="5" t="s">
        <v>7</v>
      </c>
      <c r="D13" s="7">
        <v>17</v>
      </c>
      <c r="E13" s="5">
        <v>29</v>
      </c>
      <c r="F13" s="5">
        <v>9</v>
      </c>
      <c r="G13" s="5">
        <f>D13*3.1+E13*2.1+F13*1.1</f>
        <v>123.50000000000001</v>
      </c>
      <c r="H13" s="8">
        <f t="shared" si="0"/>
        <v>0.65343915343915349</v>
      </c>
      <c r="I13" s="5"/>
      <c r="J13" s="5"/>
      <c r="K13" s="5"/>
      <c r="L13" s="5"/>
      <c r="M13" s="5"/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5">
        <v>12</v>
      </c>
      <c r="B14" s="5" t="s">
        <v>26</v>
      </c>
      <c r="C14" s="5" t="s">
        <v>7</v>
      </c>
      <c r="D14" s="7">
        <v>20</v>
      </c>
      <c r="E14" s="5">
        <v>24</v>
      </c>
      <c r="F14" s="5">
        <v>9</v>
      </c>
      <c r="G14" s="5">
        <f>D14*3.1+E14*2.1+F14*1.1</f>
        <v>122.30000000000001</v>
      </c>
      <c r="H14" s="8">
        <f t="shared" si="0"/>
        <v>0.64708994708994716</v>
      </c>
      <c r="I14" s="5"/>
      <c r="J14" s="5"/>
      <c r="K14" s="5"/>
      <c r="L14" s="5"/>
      <c r="M14" s="5"/>
      <c r="N14" s="7"/>
      <c r="O14" s="5"/>
      <c r="P14" s="5"/>
      <c r="Q14" s="7"/>
      <c r="R14" s="5"/>
      <c r="S14" s="5"/>
      <c r="T14" s="5"/>
      <c r="U14" s="5"/>
      <c r="V14" s="5"/>
      <c r="W14" s="5"/>
      <c r="X14" s="5"/>
    </row>
    <row r="15" spans="1:24" x14ac:dyDescent="0.25">
      <c r="A15" s="5">
        <v>13</v>
      </c>
      <c r="B15" s="5" t="s">
        <v>36</v>
      </c>
      <c r="C15" s="5" t="s">
        <v>7</v>
      </c>
      <c r="D15" s="7">
        <v>15</v>
      </c>
      <c r="E15" s="5">
        <v>26.69</v>
      </c>
      <c r="F15" s="5">
        <v>8</v>
      </c>
      <c r="G15" s="5">
        <f>D15*3.1+E15*2.1+F15*1.1</f>
        <v>111.349</v>
      </c>
      <c r="H15" s="8">
        <f t="shared" si="0"/>
        <v>0.5891481481481482</v>
      </c>
      <c r="I15" s="5"/>
      <c r="J15" s="5"/>
      <c r="K15" s="5"/>
      <c r="L15" s="5"/>
      <c r="M15" s="5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5">
        <v>14</v>
      </c>
      <c r="B16" s="5" t="s">
        <v>35</v>
      </c>
      <c r="C16" s="5" t="s">
        <v>7</v>
      </c>
      <c r="D16" s="7">
        <v>13</v>
      </c>
      <c r="E16" s="5">
        <v>27.5</v>
      </c>
      <c r="F16" s="5">
        <v>11</v>
      </c>
      <c r="G16" s="5">
        <f>D16*3.1+E16*2.1+F16*1.1</f>
        <v>110.15</v>
      </c>
      <c r="H16" s="8">
        <f t="shared" si="0"/>
        <v>0.58280423280423288</v>
      </c>
      <c r="I16" s="5"/>
      <c r="J16" s="5"/>
      <c r="K16" s="5"/>
      <c r="L16" s="5"/>
      <c r="M16" s="5"/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5">
        <v>15</v>
      </c>
      <c r="B17" s="5" t="s">
        <v>40</v>
      </c>
      <c r="C17" s="5" t="s">
        <v>7</v>
      </c>
      <c r="D17" s="5">
        <v>13</v>
      </c>
      <c r="E17" s="5">
        <v>24</v>
      </c>
      <c r="F17" s="5">
        <v>3</v>
      </c>
      <c r="G17" s="5">
        <f>D17*3.1+E17*2.1+F17*1.1</f>
        <v>94.000000000000014</v>
      </c>
      <c r="H17" s="8">
        <f t="shared" si="0"/>
        <v>0.49735449735449744</v>
      </c>
      <c r="I17" s="5"/>
      <c r="J17" s="5"/>
      <c r="K17" s="5"/>
      <c r="L17" s="5"/>
      <c r="M17" s="5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5">
        <v>16</v>
      </c>
      <c r="B18" s="5" t="s">
        <v>37</v>
      </c>
      <c r="C18" s="5" t="s">
        <v>7</v>
      </c>
      <c r="D18" s="7">
        <v>8</v>
      </c>
      <c r="E18" s="5">
        <v>25</v>
      </c>
      <c r="F18" s="5">
        <v>8</v>
      </c>
      <c r="G18" s="5">
        <f>D18*3.1+E18*2.1+F18*1.1</f>
        <v>86.1</v>
      </c>
      <c r="H18" s="8">
        <f t="shared" si="0"/>
        <v>0.45555555555555555</v>
      </c>
      <c r="I18" s="5"/>
      <c r="J18" s="5"/>
      <c r="K18" s="5"/>
      <c r="L18" s="5"/>
      <c r="M18" s="5"/>
      <c r="N18" s="7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11-inyaz </vt:lpstr>
      <vt:lpstr>10-inyaz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Пользователь</cp:lastModifiedBy>
  <dcterms:created xsi:type="dcterms:W3CDTF">2026-01-08T04:42:51Z</dcterms:created>
  <dcterms:modified xsi:type="dcterms:W3CDTF">2026-03-09T04:03:57Z</dcterms:modified>
</cp:coreProperties>
</file>