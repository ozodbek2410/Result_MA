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3DD3335-7A28-4D5B-97A0-F44CD7FDE4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7" i="1"/>
  <c r="H52" i="1"/>
  <c r="H58" i="1"/>
  <c r="H59" i="1"/>
  <c r="H62" i="1"/>
  <c r="H65" i="1"/>
  <c r="H67" i="1"/>
  <c r="H73" i="1"/>
  <c r="H78" i="1"/>
  <c r="H83" i="1"/>
  <c r="H85" i="1"/>
  <c r="H89" i="1"/>
  <c r="H95" i="1"/>
  <c r="H96" i="1"/>
  <c r="H102" i="1"/>
  <c r="H105" i="1"/>
  <c r="H114" i="1"/>
  <c r="H117" i="1"/>
  <c r="H119" i="1"/>
  <c r="H120" i="1"/>
  <c r="H124" i="1"/>
  <c r="H126" i="1"/>
  <c r="H129" i="1"/>
  <c r="H137" i="1"/>
  <c r="H140" i="1"/>
  <c r="H147" i="1"/>
  <c r="H150" i="1"/>
  <c r="H158" i="1"/>
  <c r="H161" i="1"/>
  <c r="H163" i="1"/>
  <c r="H2" i="1"/>
  <c r="G155" i="1"/>
  <c r="H155" i="1" s="1"/>
  <c r="G164" i="1"/>
  <c r="H164" i="1" s="1"/>
  <c r="G151" i="1"/>
  <c r="H151" i="1" s="1"/>
  <c r="G161" i="1"/>
  <c r="G160" i="1"/>
  <c r="H160" i="1" s="1"/>
  <c r="G156" i="1"/>
  <c r="H156" i="1" s="1"/>
  <c r="G152" i="1"/>
  <c r="H152" i="1" s="1"/>
  <c r="G149" i="1"/>
  <c r="H149" i="1" s="1"/>
  <c r="G148" i="1"/>
  <c r="H148" i="1" s="1"/>
  <c r="G146" i="1"/>
  <c r="H146" i="1" s="1"/>
  <c r="G145" i="1"/>
  <c r="H145" i="1" s="1"/>
  <c r="G142" i="1"/>
  <c r="H142" i="1" s="1"/>
  <c r="G138" i="1"/>
  <c r="H138" i="1" s="1"/>
  <c r="G136" i="1"/>
  <c r="H136" i="1" s="1"/>
  <c r="G135" i="1"/>
  <c r="H135" i="1" s="1"/>
  <c r="G132" i="1"/>
  <c r="H132" i="1" s="1"/>
  <c r="G131" i="1"/>
  <c r="H131" i="1" s="1"/>
  <c r="G129" i="1"/>
  <c r="G127" i="1"/>
  <c r="H127" i="1" s="1"/>
  <c r="G123" i="1"/>
  <c r="H123" i="1" s="1"/>
  <c r="G122" i="1"/>
  <c r="H122" i="1" s="1"/>
  <c r="G118" i="1"/>
  <c r="H118" i="1" s="1"/>
  <c r="G115" i="1"/>
  <c r="H115" i="1" s="1"/>
  <c r="G112" i="1"/>
  <c r="H112" i="1" s="1"/>
  <c r="G111" i="1"/>
  <c r="H111" i="1" s="1"/>
  <c r="G108" i="1"/>
  <c r="H108" i="1" s="1"/>
  <c r="G107" i="1"/>
  <c r="H107" i="1" s="1"/>
  <c r="G106" i="1"/>
  <c r="H106" i="1" s="1"/>
  <c r="G105" i="1"/>
  <c r="G104" i="1"/>
  <c r="H104" i="1" s="1"/>
  <c r="G103" i="1"/>
  <c r="H103" i="1" s="1"/>
  <c r="G101" i="1"/>
  <c r="H101" i="1" s="1"/>
  <c r="G99" i="1"/>
  <c r="H99" i="1" s="1"/>
  <c r="G98" i="1"/>
  <c r="H98" i="1" s="1"/>
  <c r="G91" i="1"/>
  <c r="H91" i="1" s="1"/>
  <c r="G89" i="1"/>
  <c r="G88" i="1"/>
  <c r="H88" i="1" s="1"/>
  <c r="G82" i="1"/>
  <c r="H82" i="1" s="1"/>
  <c r="G80" i="1"/>
  <c r="H80" i="1" s="1"/>
  <c r="G79" i="1"/>
  <c r="H79" i="1" s="1"/>
  <c r="G76" i="1"/>
  <c r="H76" i="1" s="1"/>
  <c r="G73" i="1"/>
  <c r="G71" i="1"/>
  <c r="H71" i="1" s="1"/>
  <c r="G69" i="1"/>
  <c r="H69" i="1" s="1"/>
  <c r="G66" i="1"/>
  <c r="H66" i="1" s="1"/>
  <c r="G65" i="1"/>
  <c r="G63" i="1"/>
  <c r="H63" i="1" s="1"/>
  <c r="G60" i="1"/>
  <c r="H60" i="1" s="1"/>
  <c r="G54" i="1"/>
  <c r="H54" i="1" s="1"/>
  <c r="G53" i="1"/>
  <c r="H53" i="1" s="1"/>
  <c r="G50" i="1"/>
  <c r="H50" i="1" s="1"/>
  <c r="G44" i="1"/>
  <c r="H44" i="1" s="1"/>
  <c r="G43" i="1"/>
  <c r="H43" i="1" s="1"/>
  <c r="G42" i="1"/>
  <c r="H42" i="1" s="1"/>
  <c r="G40" i="1"/>
  <c r="H40" i="1" s="1"/>
  <c r="G38" i="1"/>
  <c r="H38" i="1" s="1"/>
  <c r="G36" i="1"/>
  <c r="H36" i="1" s="1"/>
  <c r="G35" i="1"/>
  <c r="H35" i="1" s="1"/>
  <c r="G33" i="1"/>
  <c r="H33" i="1" s="1"/>
  <c r="G32" i="1"/>
  <c r="H32" i="1" s="1"/>
  <c r="G31" i="1"/>
  <c r="H31" i="1" s="1"/>
  <c r="G27" i="1"/>
  <c r="H27" i="1" s="1"/>
  <c r="G24" i="1"/>
  <c r="H24" i="1" s="1"/>
  <c r="G22" i="1"/>
  <c r="H22" i="1" s="1"/>
  <c r="G21" i="1"/>
  <c r="H21" i="1" s="1"/>
  <c r="G20" i="1"/>
  <c r="H20" i="1" s="1"/>
  <c r="G18" i="1"/>
  <c r="H18" i="1" s="1"/>
  <c r="G10" i="1"/>
  <c r="H10" i="1" s="1"/>
  <c r="G8" i="1"/>
  <c r="H8" i="1" s="1"/>
  <c r="G165" i="1" l="1"/>
  <c r="H165" i="1" s="1"/>
  <c r="G144" i="1"/>
  <c r="H144" i="1" s="1"/>
  <c r="G133" i="1"/>
  <c r="H133" i="1" s="1"/>
  <c r="G125" i="1"/>
  <c r="H125" i="1" s="1"/>
  <c r="G121" i="1"/>
  <c r="H121" i="1" s="1"/>
  <c r="G116" i="1"/>
  <c r="H116" i="1" s="1"/>
  <c r="G113" i="1"/>
  <c r="H113" i="1" s="1"/>
  <c r="G109" i="1"/>
  <c r="H109" i="1" s="1"/>
  <c r="G100" i="1"/>
  <c r="H100" i="1" s="1"/>
  <c r="G94" i="1"/>
  <c r="H94" i="1" s="1"/>
  <c r="G92" i="1"/>
  <c r="H92" i="1" s="1"/>
  <c r="G90" i="1"/>
  <c r="H90" i="1" s="1"/>
  <c r="G84" i="1"/>
  <c r="H84" i="1" s="1"/>
  <c r="G75" i="1"/>
  <c r="H75" i="1" s="1"/>
  <c r="G61" i="1"/>
  <c r="H61" i="1" s="1"/>
  <c r="G57" i="1"/>
  <c r="H57" i="1" s="1"/>
  <c r="G55" i="1"/>
  <c r="H55" i="1" s="1"/>
  <c r="G49" i="1"/>
  <c r="H49" i="1" s="1"/>
  <c r="G48" i="1"/>
  <c r="H48" i="1" s="1"/>
  <c r="G47" i="1"/>
  <c r="H47" i="1" s="1"/>
  <c r="G37" i="1"/>
  <c r="H37" i="1" s="1"/>
  <c r="G30" i="1"/>
  <c r="H30" i="1" s="1"/>
  <c r="G29" i="1"/>
  <c r="H29" i="1" s="1"/>
  <c r="G28" i="1"/>
  <c r="H28" i="1" s="1"/>
  <c r="G26" i="1"/>
  <c r="H26" i="1" s="1"/>
  <c r="G23" i="1"/>
  <c r="H23" i="1" s="1"/>
  <c r="G19" i="1"/>
  <c r="H19" i="1" s="1"/>
  <c r="G16" i="1"/>
  <c r="H16" i="1" s="1"/>
  <c r="G15" i="1"/>
  <c r="H15" i="1" s="1"/>
  <c r="G14" i="1"/>
  <c r="H14" i="1" s="1"/>
  <c r="G13" i="1"/>
  <c r="H13" i="1" s="1"/>
  <c r="G12" i="1"/>
  <c r="H12" i="1" s="1"/>
  <c r="G9" i="1"/>
  <c r="H9" i="1" s="1"/>
  <c r="G6" i="1"/>
  <c r="H6" i="1" s="1"/>
  <c r="G5" i="1"/>
  <c r="H5" i="1" s="1"/>
  <c r="G25" i="1"/>
  <c r="H25" i="1" s="1"/>
  <c r="G4" i="1"/>
  <c r="H4" i="1" s="1"/>
  <c r="G46" i="1"/>
  <c r="H46" i="1" s="1"/>
  <c r="G86" i="1"/>
  <c r="H86" i="1" s="1"/>
  <c r="G7" i="1"/>
  <c r="H7" i="1" s="1"/>
  <c r="G93" i="1"/>
  <c r="H93" i="1" s="1"/>
  <c r="G45" i="1"/>
  <c r="H45" i="1" s="1"/>
  <c r="G51" i="1"/>
  <c r="H51" i="1" s="1"/>
  <c r="G81" i="1"/>
  <c r="H81" i="1" s="1"/>
  <c r="G143" i="1"/>
  <c r="H143" i="1" s="1"/>
  <c r="G56" i="1"/>
  <c r="H56" i="1" s="1"/>
  <c r="G97" i="1"/>
  <c r="H97" i="1" s="1"/>
  <c r="G159" i="1"/>
  <c r="H159" i="1" s="1"/>
  <c r="G139" i="1"/>
  <c r="H139" i="1" s="1"/>
  <c r="G110" i="1"/>
  <c r="H110" i="1" s="1"/>
  <c r="G87" i="1"/>
  <c r="H87" i="1" s="1"/>
  <c r="G130" i="1"/>
  <c r="H130" i="1" s="1"/>
  <c r="G141" i="1"/>
  <c r="H141" i="1" s="1"/>
  <c r="G39" i="1"/>
  <c r="H39" i="1" s="1"/>
  <c r="G70" i="1"/>
  <c r="H70" i="1" s="1"/>
  <c r="G41" i="1"/>
  <c r="H41" i="1" s="1"/>
  <c r="G74" i="1"/>
  <c r="H74" i="1" s="1"/>
  <c r="G157" i="1"/>
  <c r="H157" i="1" s="1"/>
  <c r="G64" i="1"/>
  <c r="H64" i="1" s="1"/>
  <c r="G162" i="1"/>
  <c r="H162" i="1" s="1"/>
  <c r="G34" i="1"/>
  <c r="H34" i="1" s="1"/>
  <c r="G77" i="1"/>
  <c r="H77" i="1" s="1"/>
  <c r="G154" i="1"/>
  <c r="H154" i="1" s="1"/>
  <c r="G153" i="1"/>
  <c r="H153" i="1" s="1"/>
  <c r="G72" i="1"/>
  <c r="H72" i="1" s="1"/>
  <c r="G134" i="1"/>
  <c r="H134" i="1" s="1"/>
  <c r="G68" i="1"/>
  <c r="H68" i="1" s="1"/>
  <c r="G128" i="1"/>
  <c r="H128" i="1" s="1"/>
  <c r="G3" i="1"/>
  <c r="H3" i="1" s="1"/>
</calcChain>
</file>

<file path=xl/sharedStrings.xml><?xml version="1.0" encoding="utf-8"?>
<sst xmlns="http://schemas.openxmlformats.org/spreadsheetml/2006/main" count="335" uniqueCount="175">
  <si>
    <t>№</t>
  </si>
  <si>
    <t>Ism familiya</t>
  </si>
  <si>
    <t>Suvonov Sanjar</t>
  </si>
  <si>
    <t>To'raqulova To'maris</t>
  </si>
  <si>
    <t>G'iyozova Charosxon</t>
  </si>
  <si>
    <t>To'raqulov Humoyunbek</t>
  </si>
  <si>
    <t>Rustamova Sevinch</t>
  </si>
  <si>
    <t>Ikromov Azizbek</t>
  </si>
  <si>
    <t>Husenov Jasurbek</t>
  </si>
  <si>
    <t>Baxshullayev Nurbek</t>
  </si>
  <si>
    <t>Qiyomov Diyorbek</t>
  </si>
  <si>
    <t>Jumayev Mahmud</t>
  </si>
  <si>
    <t>Haydarova Laylo</t>
  </si>
  <si>
    <t>Akramov Mirshod</t>
  </si>
  <si>
    <t>Qiyomova Munisa</t>
  </si>
  <si>
    <t>G'ulomov Abdurahmon</t>
  </si>
  <si>
    <t>Qosimov Amirbek</t>
  </si>
  <si>
    <t>Farhodov Firdavs</t>
  </si>
  <si>
    <t>Maqsudov Amirjon</t>
  </si>
  <si>
    <t>Jumayev Sardor</t>
  </si>
  <si>
    <t>Rizayev Abduxoliq</t>
  </si>
  <si>
    <t>Nasriddinov Umidjon</t>
  </si>
  <si>
    <t>Fazliddinov Shukurjon</t>
  </si>
  <si>
    <t>Xayrullayev Fayoz</t>
  </si>
  <si>
    <t>Muhammadov Muhammadjon</t>
  </si>
  <si>
    <t>Negmurodov Azizbek</t>
  </si>
  <si>
    <t>Izzatillayev Sarvarbek</t>
  </si>
  <si>
    <t>Raupov Hikmatillo</t>
  </si>
  <si>
    <t>Elmurodov Elshodbek</t>
  </si>
  <si>
    <t>Nusratulloyev Navro'zbek</t>
  </si>
  <si>
    <t>Sulaymonov Azizbek</t>
  </si>
  <si>
    <t>Ilhomov Shamshodbek</t>
  </si>
  <si>
    <t>Sunnatov Suxrob</t>
  </si>
  <si>
    <t>Rahmonov Dilshodbek</t>
  </si>
  <si>
    <t>Rayhonov Bahron</t>
  </si>
  <si>
    <t>Xomitova Nigina</t>
  </si>
  <si>
    <t>Natijalar %</t>
  </si>
  <si>
    <t>Natijalar</t>
  </si>
  <si>
    <t>9-texnika</t>
  </si>
  <si>
    <t xml:space="preserve">Bozorova Parizod </t>
  </si>
  <si>
    <t>9-ijtimoiy</t>
  </si>
  <si>
    <t>Negmatova Dinara</t>
  </si>
  <si>
    <t>O'ktamova Sarvinoz</t>
  </si>
  <si>
    <t xml:space="preserve">O'ktamova Ruxshona </t>
  </si>
  <si>
    <t xml:space="preserve">Ne'matova Munisa </t>
  </si>
  <si>
    <t xml:space="preserve">Rayimova Jasmina </t>
  </si>
  <si>
    <t xml:space="preserve">Jabborov Asilbek </t>
  </si>
  <si>
    <t>Abdurasulova Shaxzoda</t>
  </si>
  <si>
    <t>Suvonova Sarvinoz</t>
  </si>
  <si>
    <t xml:space="preserve">Faxriddinova Shaxzoda </t>
  </si>
  <si>
    <t xml:space="preserve">Najimova Shabnam </t>
  </si>
  <si>
    <t>Shuhratova Dildora</t>
  </si>
  <si>
    <t>Shavkatova Munisa</t>
  </si>
  <si>
    <t xml:space="preserve">Mirjonova Mashhura </t>
  </si>
  <si>
    <t>Aslonova Farangiz</t>
  </si>
  <si>
    <t>To'xtayeva Gulnoza</t>
  </si>
  <si>
    <t xml:space="preserve">Baxodirova Malika </t>
  </si>
  <si>
    <t xml:space="preserve">Kamolova Rayxona </t>
  </si>
  <si>
    <t>G'ulomova Shaxruza</t>
  </si>
  <si>
    <t>Zuxriddinova Mohlaroyim</t>
  </si>
  <si>
    <t>Faxriddinova Oqila</t>
  </si>
  <si>
    <t>Subxonova Orzugul</t>
  </si>
  <si>
    <t>Mamatova Gulsanam</t>
  </si>
  <si>
    <t>Ochilova Gulbadanbegim</t>
  </si>
  <si>
    <t>Jalilova Dilafruz</t>
  </si>
  <si>
    <t xml:space="preserve">Nabiyeva Aziza </t>
  </si>
  <si>
    <t xml:space="preserve">Shavkatov Shamshodbek  </t>
  </si>
  <si>
    <t>9-yuridik</t>
  </si>
  <si>
    <t xml:space="preserve">Nizomov Ulug'bek </t>
  </si>
  <si>
    <t xml:space="preserve">Sagdiyev Abdulloh </t>
  </si>
  <si>
    <t xml:space="preserve">Ibodullayeva Marjona </t>
  </si>
  <si>
    <t xml:space="preserve">Sohibjonova Shafiqa </t>
  </si>
  <si>
    <t xml:space="preserve">Qurbonov Shohruh </t>
  </si>
  <si>
    <t xml:space="preserve">Vohidov Behruz </t>
  </si>
  <si>
    <t xml:space="preserve">Rahmonov Javohir </t>
  </si>
  <si>
    <t xml:space="preserve">Abdullayev Bekzod </t>
  </si>
  <si>
    <t xml:space="preserve">Aminov Elbek </t>
  </si>
  <si>
    <t xml:space="preserve">Fatullayev Alisher </t>
  </si>
  <si>
    <t xml:space="preserve">Abdurazzoqov Muhammadjon </t>
  </si>
  <si>
    <t xml:space="preserve">Faxriddinov Xushnud </t>
  </si>
  <si>
    <t xml:space="preserve">Umurova Sevinch </t>
  </si>
  <si>
    <t xml:space="preserve">Axmedov Firdavs </t>
  </si>
  <si>
    <t xml:space="preserve">Ixtiyorov Javohir </t>
  </si>
  <si>
    <t xml:space="preserve">Shonazarov Shahriyor </t>
  </si>
  <si>
    <t xml:space="preserve">Islomov Islombek </t>
  </si>
  <si>
    <t xml:space="preserve">Ibrohimov Asadbek </t>
  </si>
  <si>
    <t xml:space="preserve">Valiyev Firdavs </t>
  </si>
  <si>
    <t xml:space="preserve">Egamqulov Og'abek </t>
  </si>
  <si>
    <t xml:space="preserve">Jalolov Javohir </t>
  </si>
  <si>
    <t xml:space="preserve">Kenjayeva Ruxshona </t>
  </si>
  <si>
    <t xml:space="preserve">Ochilova  E'zozaxon </t>
  </si>
  <si>
    <t xml:space="preserve">Xudoyberdiyev Behruz </t>
  </si>
  <si>
    <t xml:space="preserve">Fozilov Fuzaylxon </t>
  </si>
  <si>
    <t xml:space="preserve">Jo'rayev Javohir </t>
  </si>
  <si>
    <t xml:space="preserve">Usmonov Farrux </t>
  </si>
  <si>
    <t xml:space="preserve">Ravshan Sobirov </t>
  </si>
  <si>
    <t xml:space="preserve">Niyozov Ozodbek </t>
  </si>
  <si>
    <t xml:space="preserve">Husenova Mehrangiz </t>
  </si>
  <si>
    <t xml:space="preserve">G'ulomov Afruzbek </t>
  </si>
  <si>
    <t xml:space="preserve">Qo'shshayev Muhammadali </t>
  </si>
  <si>
    <t xml:space="preserve">Artikova Malika </t>
  </si>
  <si>
    <t xml:space="preserve">Muzrofov Javohir </t>
  </si>
  <si>
    <t>Ibotova Bahora</t>
  </si>
  <si>
    <t>9-iqtisod</t>
  </si>
  <si>
    <t>Shavkatov Muhammad</t>
  </si>
  <si>
    <t>Mannopov Muhammadaziz</t>
  </si>
  <si>
    <t>Ramazonova Marjona</t>
  </si>
  <si>
    <t>Saidova Sevara</t>
  </si>
  <si>
    <t>Inoyatov Asadbek</t>
  </si>
  <si>
    <t>Mustaqimov Umidjon</t>
  </si>
  <si>
    <t xml:space="preserve">Sharipov Shaxriyor </t>
  </si>
  <si>
    <t>O`ktamov Ruslan</t>
  </si>
  <si>
    <t>Alijonov Og`abek</t>
  </si>
  <si>
    <t>Amonova Nuriddinali</t>
  </si>
  <si>
    <t>Kamolov Behruz</t>
  </si>
  <si>
    <t>Yo`ldoshov Mirfayz</t>
  </si>
  <si>
    <t>Mehriddinov Zuhriddin</t>
  </si>
  <si>
    <t>Alisherov Ummat</t>
  </si>
  <si>
    <t>Baxshilloyev Asilbek</t>
  </si>
  <si>
    <t>Hamiddullayev Muhriddin</t>
  </si>
  <si>
    <t>Jo'raqulov Javhar</t>
  </si>
  <si>
    <t>Sadirov Ulug'bek</t>
  </si>
  <si>
    <t>Rajabova Jasmina</t>
  </si>
  <si>
    <t>Bekmurodova Hadicha</t>
  </si>
  <si>
    <t>Sayfullayeva Tabassum</t>
  </si>
  <si>
    <t>Quvvatova Shabbona</t>
  </si>
  <si>
    <t>Ulug'jonov Alisherbek</t>
  </si>
  <si>
    <t>Xudoyberdiyev Akromjon</t>
  </si>
  <si>
    <t>Nasimov Ibrohim</t>
  </si>
  <si>
    <t>Norchayev Shuhrat</t>
  </si>
  <si>
    <t>Abdullayev Asilbek</t>
  </si>
  <si>
    <t>Jo`raboyev Javohir</t>
  </si>
  <si>
    <t>Amonov Mirshod</t>
  </si>
  <si>
    <t xml:space="preserve">Normurodov Bahrom </t>
  </si>
  <si>
    <t>Jumayev Zohid</t>
  </si>
  <si>
    <t>Zamonova Sabrina</t>
  </si>
  <si>
    <t>Muhiddinov Abdurahmon</t>
  </si>
  <si>
    <t>Mirodullayev Mirjahon</t>
  </si>
  <si>
    <t xml:space="preserve">Mustafoyev Daler </t>
  </si>
  <si>
    <t>Toshpo`latov Bahromjon</t>
  </si>
  <si>
    <t>Axmatov Jahongir</t>
  </si>
  <si>
    <t>Hazratov Elyor</t>
  </si>
  <si>
    <t>Sirojiddinov Temur</t>
  </si>
  <si>
    <t>Raxmonkulov Ruslan</t>
  </si>
  <si>
    <t>Baxshullayev Baxrom</t>
  </si>
  <si>
    <t>Bobomurodov Behruz</t>
  </si>
  <si>
    <t>Naimov Shohijahon</t>
  </si>
  <si>
    <t>Baxtiyorov Jahongir</t>
  </si>
  <si>
    <t xml:space="preserve">Qayimov Behruz </t>
  </si>
  <si>
    <t>Abdullayev Shohruh</t>
  </si>
  <si>
    <t>Shavkatov Shavkatjon</t>
  </si>
  <si>
    <t>Olimova Nigina</t>
  </si>
  <si>
    <t>Murodullayeva Sevinch</t>
  </si>
  <si>
    <t>Karimova Asal</t>
  </si>
  <si>
    <t>Malikova Shabnam</t>
  </si>
  <si>
    <t>Rustamov Zuhriddin</t>
  </si>
  <si>
    <t xml:space="preserve">Zayniyev Shahzodbek </t>
  </si>
  <si>
    <t>Odilov Burhonniddin</t>
  </si>
  <si>
    <t>Teshayev Hojakbar</t>
  </si>
  <si>
    <t>Salimov Ozodbek</t>
  </si>
  <si>
    <t>Rahimov Adham</t>
  </si>
  <si>
    <t>Aminova Sevinch</t>
  </si>
  <si>
    <t>Baxshullayeva Sevinch</t>
  </si>
  <si>
    <t>Shodmonov Jo`rabek</t>
  </si>
  <si>
    <t>Hojiyeva Dilobar</t>
  </si>
  <si>
    <t>Komilov Shohrux</t>
  </si>
  <si>
    <t>Saidov Bahodir</t>
  </si>
  <si>
    <t>G`ulomov Javohir</t>
  </si>
  <si>
    <t>Hazratov Asilbek</t>
  </si>
  <si>
    <t>Rabbimqulov Aslam</t>
  </si>
  <si>
    <t>Murodullayev Axmadjon</t>
  </si>
  <si>
    <t>Tolibjonov Baxtiyor</t>
  </si>
  <si>
    <t>1-blok</t>
  </si>
  <si>
    <t>2- blok</t>
  </si>
  <si>
    <t>majburiy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</si>
</sst>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2" fontId="2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tabSelected="1" zoomScale="85" zoomScaleNormal="85" workbookViewId="0">
      <selection activeCell="I6" sqref="I6"/>
    </sheetView>
  </sheetViews>
  <sheetFormatPr defaultColWidth="9.140625" defaultRowHeight="15" x14ac:dyDescent="0.25"/>
  <cols>
    <col min="1" max="1" width="9.140625" style="4"/>
    <col min="2" max="2" width="47" style="4" customWidth="1"/>
    <col min="3" max="3" width="11.42578125" style="4" bestFit="1" customWidth="1"/>
    <col min="4" max="4" width="8.28515625" style="2" bestFit="1" customWidth="1"/>
    <col min="5" max="5" width="8.85546875" style="2" bestFit="1" customWidth="1"/>
    <col min="6" max="6" width="11.140625" style="4" bestFit="1" customWidth="1"/>
    <col min="7" max="7" width="10.5703125" style="4" bestFit="1" customWidth="1"/>
    <col min="8" max="8" width="13.140625" style="4" bestFit="1" customWidth="1"/>
    <col min="9" max="9" width="16.5703125" style="4" customWidth="1"/>
    <col min="10" max="10" width="11.85546875" style="4" customWidth="1"/>
    <col min="11" max="16384" width="9.140625" style="4"/>
  </cols>
  <sheetData>
    <row r="1" spans="1:10" ht="18.75" x14ac:dyDescent="0.3">
      <c r="A1" s="6" t="s">
        <v>0</v>
      </c>
      <c r="B1" s="6" t="s">
        <v>1</v>
      </c>
      <c r="C1" s="6"/>
      <c r="D1" s="5" t="s">
        <v>172</v>
      </c>
      <c r="E1" s="7" t="s">
        <v>173</v>
      </c>
      <c r="F1" s="8" t="s">
        <v>174</v>
      </c>
      <c r="G1" s="8" t="s">
        <v>37</v>
      </c>
      <c r="H1" s="7" t="s">
        <v>36</v>
      </c>
      <c r="I1" s="1"/>
      <c r="J1" s="1"/>
    </row>
    <row r="2" spans="1:10" ht="18.75" x14ac:dyDescent="0.3">
      <c r="A2" s="6">
        <v>1</v>
      </c>
      <c r="B2" s="5" t="s">
        <v>39</v>
      </c>
      <c r="C2" s="5" t="s">
        <v>40</v>
      </c>
      <c r="D2" s="5">
        <v>28</v>
      </c>
      <c r="E2" s="5">
        <v>22</v>
      </c>
      <c r="F2" s="5">
        <v>23</v>
      </c>
      <c r="G2" s="5">
        <v>158.30000000000001</v>
      </c>
      <c r="H2" s="9">
        <f>G2/189</f>
        <v>0.83756613756613763</v>
      </c>
      <c r="I2" s="2"/>
      <c r="J2" s="3"/>
    </row>
    <row r="3" spans="1:10" ht="18.75" x14ac:dyDescent="0.3">
      <c r="A3" s="6">
        <v>2</v>
      </c>
      <c r="B3" s="6" t="s">
        <v>20</v>
      </c>
      <c r="C3" s="6" t="s">
        <v>38</v>
      </c>
      <c r="D3" s="5">
        <v>28</v>
      </c>
      <c r="E3" s="7">
        <v>26</v>
      </c>
      <c r="F3" s="5">
        <v>6</v>
      </c>
      <c r="G3" s="7">
        <f>(D3*3.1+E3*2.1+F3*1.1)</f>
        <v>148</v>
      </c>
      <c r="H3" s="9">
        <f>G3/189</f>
        <v>0.78306878306878303</v>
      </c>
      <c r="I3" s="2"/>
      <c r="J3" s="3"/>
    </row>
    <row r="4" spans="1:10" ht="18.75" x14ac:dyDescent="0.3">
      <c r="A4" s="6">
        <v>3</v>
      </c>
      <c r="B4" s="6" t="s">
        <v>18</v>
      </c>
      <c r="C4" s="6" t="s">
        <v>38</v>
      </c>
      <c r="D4" s="5">
        <v>30</v>
      </c>
      <c r="E4" s="7">
        <v>22</v>
      </c>
      <c r="F4" s="5">
        <v>8</v>
      </c>
      <c r="G4" s="7">
        <f>(D4*3.1+E4*2.1+F4*1.1)</f>
        <v>148</v>
      </c>
      <c r="H4" s="9">
        <f>G4/189</f>
        <v>0.78306878306878303</v>
      </c>
      <c r="I4" s="2"/>
      <c r="J4" s="3"/>
    </row>
    <row r="5" spans="1:10" ht="18.75" x14ac:dyDescent="0.3">
      <c r="A5" s="6">
        <v>4</v>
      </c>
      <c r="B5" s="5" t="s">
        <v>66</v>
      </c>
      <c r="C5" s="5" t="s">
        <v>67</v>
      </c>
      <c r="D5" s="5">
        <v>25</v>
      </c>
      <c r="E5" s="5">
        <v>19</v>
      </c>
      <c r="F5" s="5">
        <v>23</v>
      </c>
      <c r="G5" s="7">
        <f>(D5*3.1+E5*2.1+F5*1.1)</f>
        <v>142.70000000000002</v>
      </c>
      <c r="H5" s="9">
        <f>G5/189</f>
        <v>0.75502645502645516</v>
      </c>
      <c r="I5" s="2"/>
      <c r="J5" s="3"/>
    </row>
    <row r="6" spans="1:10" ht="18.75" x14ac:dyDescent="0.3">
      <c r="A6" s="6">
        <v>5</v>
      </c>
      <c r="B6" s="5" t="s">
        <v>68</v>
      </c>
      <c r="C6" s="5" t="s">
        <v>67</v>
      </c>
      <c r="D6" s="5">
        <v>23</v>
      </c>
      <c r="E6" s="5">
        <v>23</v>
      </c>
      <c r="F6" s="5">
        <v>20</v>
      </c>
      <c r="G6" s="7">
        <f>(D6*3.1+E6*2.1+F6*1.1)</f>
        <v>141.6</v>
      </c>
      <c r="H6" s="9">
        <f>G6/189</f>
        <v>0.74920634920634921</v>
      </c>
      <c r="I6" s="2"/>
      <c r="J6" s="3"/>
    </row>
    <row r="7" spans="1:10" ht="18.75" x14ac:dyDescent="0.3">
      <c r="A7" s="6">
        <v>6</v>
      </c>
      <c r="B7" s="6" t="s">
        <v>2</v>
      </c>
      <c r="C7" s="6" t="s">
        <v>38</v>
      </c>
      <c r="D7" s="5">
        <v>28</v>
      </c>
      <c r="E7" s="7">
        <v>20</v>
      </c>
      <c r="F7" s="5">
        <v>10</v>
      </c>
      <c r="G7" s="7">
        <f>(D7*3.1+E7*2.1+F7*1.1)</f>
        <v>139.80000000000001</v>
      </c>
      <c r="H7" s="9">
        <f>G7/189</f>
        <v>0.73968253968253972</v>
      </c>
      <c r="I7" s="2"/>
      <c r="J7" s="3"/>
    </row>
    <row r="8" spans="1:10" ht="18.75" x14ac:dyDescent="0.3">
      <c r="A8" s="6">
        <v>7</v>
      </c>
      <c r="B8" s="10" t="s">
        <v>102</v>
      </c>
      <c r="C8" s="10" t="s">
        <v>103</v>
      </c>
      <c r="D8" s="10">
        <v>26</v>
      </c>
      <c r="E8" s="10">
        <v>21</v>
      </c>
      <c r="F8" s="10">
        <v>13</v>
      </c>
      <c r="G8" s="10">
        <f>F8*1.1+E8*2.1+D8*3.1</f>
        <v>139</v>
      </c>
      <c r="H8" s="9">
        <f>G8/189</f>
        <v>0.73544973544973546</v>
      </c>
      <c r="I8" s="2"/>
      <c r="J8" s="3"/>
    </row>
    <row r="9" spans="1:10" ht="18.75" x14ac:dyDescent="0.3">
      <c r="A9" s="6">
        <v>8</v>
      </c>
      <c r="B9" s="5" t="s">
        <v>69</v>
      </c>
      <c r="C9" s="5" t="s">
        <v>67</v>
      </c>
      <c r="D9" s="5">
        <v>22</v>
      </c>
      <c r="E9" s="5">
        <v>23</v>
      </c>
      <c r="F9" s="5">
        <v>20</v>
      </c>
      <c r="G9" s="7">
        <f>(D9*3.1+E9*2.1+F9*1.1)</f>
        <v>138.5</v>
      </c>
      <c r="H9" s="9">
        <f>G9/189</f>
        <v>0.73280423280423279</v>
      </c>
      <c r="I9" s="2"/>
      <c r="J9" s="3"/>
    </row>
    <row r="10" spans="1:10" ht="18.75" x14ac:dyDescent="0.3">
      <c r="A10" s="6">
        <v>9</v>
      </c>
      <c r="B10" s="10" t="s">
        <v>104</v>
      </c>
      <c r="C10" s="10" t="s">
        <v>103</v>
      </c>
      <c r="D10" s="10">
        <v>23</v>
      </c>
      <c r="E10" s="10">
        <v>23</v>
      </c>
      <c r="F10" s="10">
        <v>17</v>
      </c>
      <c r="G10" s="10">
        <f>F10*1.1+E10*2.1+D10*3.1</f>
        <v>138.30000000000001</v>
      </c>
      <c r="H10" s="9">
        <f>G10/189</f>
        <v>0.73174603174603181</v>
      </c>
      <c r="I10" s="2"/>
      <c r="J10" s="3"/>
    </row>
    <row r="11" spans="1:10" ht="18.75" x14ac:dyDescent="0.3">
      <c r="A11" s="6">
        <v>10</v>
      </c>
      <c r="B11" s="5" t="s">
        <v>41</v>
      </c>
      <c r="C11" s="5" t="s">
        <v>40</v>
      </c>
      <c r="D11" s="5">
        <v>23</v>
      </c>
      <c r="E11" s="5">
        <v>24</v>
      </c>
      <c r="F11" s="5">
        <v>15</v>
      </c>
      <c r="G11" s="5">
        <v>138.19999999999999</v>
      </c>
      <c r="H11" s="9">
        <f>G11/189</f>
        <v>0.73121693121693121</v>
      </c>
      <c r="I11" s="2"/>
      <c r="J11" s="3"/>
    </row>
    <row r="12" spans="1:10" ht="18.75" x14ac:dyDescent="0.3">
      <c r="A12" s="6">
        <v>11</v>
      </c>
      <c r="B12" s="5" t="s">
        <v>70</v>
      </c>
      <c r="C12" s="5" t="s">
        <v>67</v>
      </c>
      <c r="D12" s="5">
        <v>20</v>
      </c>
      <c r="E12" s="5">
        <v>24</v>
      </c>
      <c r="F12" s="5">
        <v>23</v>
      </c>
      <c r="G12" s="7">
        <f>(D12*3.1+E12*2.1+F12*1.1)</f>
        <v>137.70000000000002</v>
      </c>
      <c r="H12" s="9">
        <f>G12/189</f>
        <v>0.72857142857142865</v>
      </c>
      <c r="I12" s="2"/>
      <c r="J12" s="3"/>
    </row>
    <row r="13" spans="1:10" ht="18.75" x14ac:dyDescent="0.3">
      <c r="A13" s="6">
        <v>12</v>
      </c>
      <c r="B13" s="5" t="s">
        <v>71</v>
      </c>
      <c r="C13" s="5" t="s">
        <v>67</v>
      </c>
      <c r="D13" s="5">
        <v>22</v>
      </c>
      <c r="E13" s="5">
        <v>21</v>
      </c>
      <c r="F13" s="5">
        <v>23</v>
      </c>
      <c r="G13" s="7">
        <f>(D13*3.1+E13*2.1+F13*1.1)</f>
        <v>137.60000000000002</v>
      </c>
      <c r="H13" s="9">
        <f>G13/189</f>
        <v>0.72804232804232816</v>
      </c>
      <c r="I13" s="2"/>
      <c r="J13" s="3"/>
    </row>
    <row r="14" spans="1:10" ht="18.75" x14ac:dyDescent="0.3">
      <c r="A14" s="6">
        <v>13</v>
      </c>
      <c r="B14" s="5" t="s">
        <v>72</v>
      </c>
      <c r="C14" s="5" t="s">
        <v>67</v>
      </c>
      <c r="D14" s="5">
        <v>22</v>
      </c>
      <c r="E14" s="5">
        <v>26</v>
      </c>
      <c r="F14" s="5">
        <v>13</v>
      </c>
      <c r="G14" s="7">
        <f>(D14*3.1+E14*2.1+F14*1.1)</f>
        <v>137.10000000000002</v>
      </c>
      <c r="H14" s="9">
        <f>G14/189</f>
        <v>0.72539682539682548</v>
      </c>
      <c r="I14" s="2"/>
      <c r="J14" s="3"/>
    </row>
    <row r="15" spans="1:10" ht="18.75" x14ac:dyDescent="0.3">
      <c r="A15" s="6">
        <v>14</v>
      </c>
      <c r="B15" s="5" t="s">
        <v>73</v>
      </c>
      <c r="C15" s="5" t="s">
        <v>67</v>
      </c>
      <c r="D15" s="5">
        <v>18</v>
      </c>
      <c r="E15" s="5">
        <v>27</v>
      </c>
      <c r="F15" s="5">
        <v>21</v>
      </c>
      <c r="G15" s="7">
        <f>(D15*3.1+E15*2.1+F15*1.1)</f>
        <v>135.6</v>
      </c>
      <c r="H15" s="9">
        <f>G15/189</f>
        <v>0.71746031746031746</v>
      </c>
      <c r="I15" s="2"/>
      <c r="J15" s="3"/>
    </row>
    <row r="16" spans="1:10" ht="18.75" x14ac:dyDescent="0.3">
      <c r="A16" s="6">
        <v>15</v>
      </c>
      <c r="B16" s="5" t="s">
        <v>74</v>
      </c>
      <c r="C16" s="5" t="s">
        <v>67</v>
      </c>
      <c r="D16" s="5">
        <v>23</v>
      </c>
      <c r="E16" s="5">
        <v>21</v>
      </c>
      <c r="F16" s="5">
        <v>18</v>
      </c>
      <c r="G16" s="7">
        <f>(D16*3.1+E16*2.1+F16*1.1)</f>
        <v>135.20000000000002</v>
      </c>
      <c r="H16" s="9">
        <f>G16/189</f>
        <v>0.71534391534391539</v>
      </c>
      <c r="I16" s="2"/>
      <c r="J16" s="3"/>
    </row>
    <row r="17" spans="1:10" ht="18.75" x14ac:dyDescent="0.3">
      <c r="A17" s="6">
        <v>16</v>
      </c>
      <c r="B17" s="5" t="s">
        <v>42</v>
      </c>
      <c r="C17" s="5" t="s">
        <v>40</v>
      </c>
      <c r="D17" s="5">
        <v>24</v>
      </c>
      <c r="E17" s="5">
        <v>19</v>
      </c>
      <c r="F17" s="5">
        <v>17</v>
      </c>
      <c r="G17" s="5">
        <v>133</v>
      </c>
      <c r="H17" s="9">
        <f>G17/189</f>
        <v>0.70370370370370372</v>
      </c>
      <c r="I17" s="2"/>
      <c r="J17" s="3"/>
    </row>
    <row r="18" spans="1:10" ht="18.75" x14ac:dyDescent="0.3">
      <c r="A18" s="6">
        <v>17</v>
      </c>
      <c r="B18" s="10" t="s">
        <v>105</v>
      </c>
      <c r="C18" s="10" t="s">
        <v>103</v>
      </c>
      <c r="D18" s="10">
        <v>22</v>
      </c>
      <c r="E18" s="10">
        <v>23</v>
      </c>
      <c r="F18" s="10">
        <v>15</v>
      </c>
      <c r="G18" s="10">
        <f>F18*1.1+E18*2.1+D18*3.1</f>
        <v>133</v>
      </c>
      <c r="H18" s="9">
        <f>G18/189</f>
        <v>0.70370370370370372</v>
      </c>
      <c r="I18" s="2"/>
      <c r="J18" s="3"/>
    </row>
    <row r="19" spans="1:10" ht="18.75" x14ac:dyDescent="0.3">
      <c r="A19" s="6">
        <v>18</v>
      </c>
      <c r="B19" s="5" t="s">
        <v>75</v>
      </c>
      <c r="C19" s="5" t="s">
        <v>67</v>
      </c>
      <c r="D19" s="5">
        <v>24</v>
      </c>
      <c r="E19" s="5">
        <v>20</v>
      </c>
      <c r="F19" s="5">
        <v>15</v>
      </c>
      <c r="G19" s="7">
        <f>(D19*3.1+E19*2.1+F19*1.1)</f>
        <v>132.9</v>
      </c>
      <c r="H19" s="9">
        <f>G19/189</f>
        <v>0.70317460317460323</v>
      </c>
      <c r="I19" s="2"/>
      <c r="J19" s="3"/>
    </row>
    <row r="20" spans="1:10" ht="18.75" x14ac:dyDescent="0.3">
      <c r="A20" s="6">
        <v>19</v>
      </c>
      <c r="B20" s="10" t="s">
        <v>106</v>
      </c>
      <c r="C20" s="10" t="s">
        <v>103</v>
      </c>
      <c r="D20" s="10">
        <v>24</v>
      </c>
      <c r="E20" s="10">
        <v>16</v>
      </c>
      <c r="F20" s="10">
        <v>22</v>
      </c>
      <c r="G20" s="10">
        <f>F20*1.1+E20*2.1+D20*3.1</f>
        <v>132.20000000000002</v>
      </c>
      <c r="H20" s="9">
        <f>G20/189</f>
        <v>0.69947089947089958</v>
      </c>
      <c r="I20" s="2"/>
      <c r="J20" s="3"/>
    </row>
    <row r="21" spans="1:10" ht="18.75" x14ac:dyDescent="0.3">
      <c r="A21" s="6">
        <v>20</v>
      </c>
      <c r="B21" s="10" t="s">
        <v>107</v>
      </c>
      <c r="C21" s="10" t="s">
        <v>103</v>
      </c>
      <c r="D21" s="10">
        <v>24</v>
      </c>
      <c r="E21" s="10">
        <v>21</v>
      </c>
      <c r="F21" s="10">
        <v>12</v>
      </c>
      <c r="G21" s="10">
        <f>F21*1.1+E21*2.1+D21*3.1</f>
        <v>131.70000000000002</v>
      </c>
      <c r="H21" s="9">
        <f>G21/189</f>
        <v>0.6968253968253969</v>
      </c>
      <c r="I21" s="2"/>
      <c r="J21" s="3"/>
    </row>
    <row r="22" spans="1:10" ht="18.75" x14ac:dyDescent="0.3">
      <c r="A22" s="6">
        <v>21</v>
      </c>
      <c r="B22" s="10" t="s">
        <v>108</v>
      </c>
      <c r="C22" s="10" t="s">
        <v>103</v>
      </c>
      <c r="D22" s="10">
        <v>25</v>
      </c>
      <c r="E22" s="10">
        <v>19</v>
      </c>
      <c r="F22" s="10">
        <v>13</v>
      </c>
      <c r="G22" s="10">
        <f>F22*1.1+E22*2.1+D22*3.1</f>
        <v>131.69999999999999</v>
      </c>
      <c r="H22" s="9">
        <f>G22/189</f>
        <v>0.69682539682539679</v>
      </c>
      <c r="I22" s="2"/>
      <c r="J22" s="3"/>
    </row>
    <row r="23" spans="1:10" ht="18.75" x14ac:dyDescent="0.3">
      <c r="A23" s="6">
        <v>22</v>
      </c>
      <c r="B23" s="5" t="s">
        <v>76</v>
      </c>
      <c r="C23" s="5" t="s">
        <v>67</v>
      </c>
      <c r="D23" s="5">
        <v>23</v>
      </c>
      <c r="E23" s="5">
        <v>18</v>
      </c>
      <c r="F23" s="5">
        <v>19</v>
      </c>
      <c r="G23" s="7">
        <f>(D23*3.1+E23*2.1+F23*1.1)</f>
        <v>130</v>
      </c>
      <c r="H23" s="9">
        <f>G23/189</f>
        <v>0.68783068783068779</v>
      </c>
      <c r="I23" s="2"/>
      <c r="J23" s="3"/>
    </row>
    <row r="24" spans="1:10" ht="18.75" x14ac:dyDescent="0.3">
      <c r="A24" s="6">
        <v>23</v>
      </c>
      <c r="B24" s="10" t="s">
        <v>109</v>
      </c>
      <c r="C24" s="10" t="s">
        <v>103</v>
      </c>
      <c r="D24" s="10">
        <v>25</v>
      </c>
      <c r="E24" s="10">
        <v>16</v>
      </c>
      <c r="F24" s="10">
        <v>16</v>
      </c>
      <c r="G24" s="10">
        <f>F24*1.1+E24*2.1+D24*3.1</f>
        <v>128.69999999999999</v>
      </c>
      <c r="H24" s="9">
        <f>G24/189</f>
        <v>0.68095238095238086</v>
      </c>
      <c r="I24" s="2"/>
      <c r="J24" s="3"/>
    </row>
    <row r="25" spans="1:10" ht="18.75" x14ac:dyDescent="0.3">
      <c r="A25" s="6">
        <v>24</v>
      </c>
      <c r="B25" s="6" t="s">
        <v>3</v>
      </c>
      <c r="C25" s="6" t="s">
        <v>38</v>
      </c>
      <c r="D25" s="5">
        <v>23</v>
      </c>
      <c r="E25" s="7">
        <v>22</v>
      </c>
      <c r="F25" s="5">
        <v>10</v>
      </c>
      <c r="G25" s="7">
        <f>(D25*3.1+E25*2.1+F25*1.1)</f>
        <v>128.5</v>
      </c>
      <c r="H25" s="9">
        <f>G25/189</f>
        <v>0.67989417989417988</v>
      </c>
      <c r="I25" s="2"/>
      <c r="J25" s="3"/>
    </row>
    <row r="26" spans="1:10" ht="18.75" x14ac:dyDescent="0.3">
      <c r="A26" s="6">
        <v>25</v>
      </c>
      <c r="B26" s="5" t="s">
        <v>77</v>
      </c>
      <c r="C26" s="5" t="s">
        <v>67</v>
      </c>
      <c r="D26" s="5">
        <v>22</v>
      </c>
      <c r="E26" s="5">
        <v>18</v>
      </c>
      <c r="F26" s="5">
        <v>20</v>
      </c>
      <c r="G26" s="7">
        <f>(D26*3.1+E26*2.1+F26*1.1)</f>
        <v>128</v>
      </c>
      <c r="H26" s="9">
        <f>G26/189</f>
        <v>0.67724867724867721</v>
      </c>
      <c r="I26" s="2"/>
      <c r="J26" s="3"/>
    </row>
    <row r="27" spans="1:10" ht="18.75" x14ac:dyDescent="0.3">
      <c r="A27" s="6">
        <v>26</v>
      </c>
      <c r="B27" s="10" t="s">
        <v>110</v>
      </c>
      <c r="C27" s="10" t="s">
        <v>103</v>
      </c>
      <c r="D27" s="10">
        <v>22</v>
      </c>
      <c r="E27" s="10">
        <v>17</v>
      </c>
      <c r="F27" s="10">
        <v>21</v>
      </c>
      <c r="G27" s="10">
        <f>F27*1.1+E27*2.1+D27*3.1</f>
        <v>127</v>
      </c>
      <c r="H27" s="9">
        <f>G27/189</f>
        <v>0.67195767195767198</v>
      </c>
      <c r="I27" s="2"/>
      <c r="J27" s="3"/>
    </row>
    <row r="28" spans="1:10" ht="18.75" x14ac:dyDescent="0.3">
      <c r="A28" s="6">
        <v>27</v>
      </c>
      <c r="B28" s="5" t="s">
        <v>78</v>
      </c>
      <c r="C28" s="5" t="s">
        <v>67</v>
      </c>
      <c r="D28" s="5">
        <v>19</v>
      </c>
      <c r="E28" s="5">
        <v>19</v>
      </c>
      <c r="F28" s="5">
        <v>25</v>
      </c>
      <c r="G28" s="7">
        <f>(D28*3.1+E28*2.1+F28*1.1)</f>
        <v>126.3</v>
      </c>
      <c r="H28" s="9">
        <f>G28/189</f>
        <v>0.66825396825396821</v>
      </c>
      <c r="I28" s="2"/>
      <c r="J28" s="3"/>
    </row>
    <row r="29" spans="1:10" ht="18.75" x14ac:dyDescent="0.3">
      <c r="A29" s="6">
        <v>28</v>
      </c>
      <c r="B29" s="5" t="s">
        <v>79</v>
      </c>
      <c r="C29" s="5" t="s">
        <v>67</v>
      </c>
      <c r="D29" s="5">
        <v>21</v>
      </c>
      <c r="E29" s="5">
        <v>17</v>
      </c>
      <c r="F29" s="5">
        <v>22</v>
      </c>
      <c r="G29" s="7">
        <f>(D29*3.1+E29*2.1+F29*1.1)</f>
        <v>125.00000000000001</v>
      </c>
      <c r="H29" s="9">
        <f>G29/189</f>
        <v>0.66137566137566151</v>
      </c>
      <c r="I29" s="2"/>
      <c r="J29" s="3"/>
    </row>
    <row r="30" spans="1:10" ht="18.75" x14ac:dyDescent="0.3">
      <c r="A30" s="6">
        <v>29</v>
      </c>
      <c r="B30" s="5" t="s">
        <v>80</v>
      </c>
      <c r="C30" s="5" t="s">
        <v>67</v>
      </c>
      <c r="D30" s="5">
        <v>19</v>
      </c>
      <c r="E30" s="5">
        <v>20</v>
      </c>
      <c r="F30" s="5">
        <v>21</v>
      </c>
      <c r="G30" s="7">
        <f>(D30*3.1+E30*2.1+F30*1.1)</f>
        <v>124</v>
      </c>
      <c r="H30" s="9">
        <f>G30/189</f>
        <v>0.65608465608465605</v>
      </c>
      <c r="I30" s="2"/>
      <c r="J30" s="3"/>
    </row>
    <row r="31" spans="1:10" ht="18.75" x14ac:dyDescent="0.3">
      <c r="A31" s="6">
        <v>30</v>
      </c>
      <c r="B31" s="10" t="s">
        <v>111</v>
      </c>
      <c r="C31" s="10" t="s">
        <v>103</v>
      </c>
      <c r="D31" s="10">
        <v>25</v>
      </c>
      <c r="E31" s="10">
        <v>11</v>
      </c>
      <c r="F31" s="10">
        <v>21</v>
      </c>
      <c r="G31" s="10">
        <f>F31*1.1+E31*2.1+D31*3.1</f>
        <v>123.7</v>
      </c>
      <c r="H31" s="9">
        <f>G31/189</f>
        <v>0.65449735449735447</v>
      </c>
      <c r="I31" s="2"/>
      <c r="J31" s="3"/>
    </row>
    <row r="32" spans="1:10" ht="18.75" x14ac:dyDescent="0.3">
      <c r="A32" s="6">
        <v>31</v>
      </c>
      <c r="B32" s="10" t="s">
        <v>112</v>
      </c>
      <c r="C32" s="10" t="s">
        <v>103</v>
      </c>
      <c r="D32" s="10">
        <v>23</v>
      </c>
      <c r="E32" s="10">
        <v>17</v>
      </c>
      <c r="F32" s="10">
        <v>15</v>
      </c>
      <c r="G32" s="10">
        <f>F32*1.1+E32*2.1+D32*3.1</f>
        <v>123.5</v>
      </c>
      <c r="H32" s="9">
        <f>G32/189</f>
        <v>0.65343915343915349</v>
      </c>
      <c r="I32" s="2"/>
      <c r="J32" s="3"/>
    </row>
    <row r="33" spans="1:10" ht="18.75" x14ac:dyDescent="0.3">
      <c r="A33" s="6">
        <v>32</v>
      </c>
      <c r="B33" s="10" t="s">
        <v>113</v>
      </c>
      <c r="C33" s="10" t="s">
        <v>103</v>
      </c>
      <c r="D33" s="10">
        <v>19</v>
      </c>
      <c r="E33" s="10">
        <v>25</v>
      </c>
      <c r="F33" s="10">
        <v>11</v>
      </c>
      <c r="G33" s="10">
        <f>F33*1.1+E33*2.1+D33*3.1</f>
        <v>123.5</v>
      </c>
      <c r="H33" s="9">
        <f>G33/189</f>
        <v>0.65343915343915349</v>
      </c>
      <c r="I33" s="2"/>
      <c r="J33" s="3"/>
    </row>
    <row r="34" spans="1:10" ht="18.75" x14ac:dyDescent="0.3">
      <c r="A34" s="6">
        <v>33</v>
      </c>
      <c r="B34" s="6" t="s">
        <v>17</v>
      </c>
      <c r="C34" s="6" t="s">
        <v>38</v>
      </c>
      <c r="D34" s="5">
        <v>25</v>
      </c>
      <c r="E34" s="7">
        <v>17</v>
      </c>
      <c r="F34" s="5">
        <v>9</v>
      </c>
      <c r="G34" s="7">
        <f>(D34*3.1+E34*2.1+F34*1.1)</f>
        <v>123.10000000000001</v>
      </c>
      <c r="H34" s="9">
        <f>G34/189</f>
        <v>0.65132275132275141</v>
      </c>
      <c r="I34" s="2"/>
      <c r="J34" s="3"/>
    </row>
    <row r="35" spans="1:10" ht="18.75" x14ac:dyDescent="0.3">
      <c r="A35" s="6">
        <v>34</v>
      </c>
      <c r="B35" s="10" t="s">
        <v>114</v>
      </c>
      <c r="C35" s="10" t="s">
        <v>103</v>
      </c>
      <c r="D35" s="10">
        <v>20</v>
      </c>
      <c r="E35" s="10">
        <v>23</v>
      </c>
      <c r="F35" s="10">
        <v>11</v>
      </c>
      <c r="G35" s="10">
        <f>F35*1.1+E35*2.1+D35*3.1</f>
        <v>122.4</v>
      </c>
      <c r="H35" s="9">
        <f>G35/189</f>
        <v>0.64761904761904765</v>
      </c>
      <c r="I35" s="2"/>
      <c r="J35" s="3"/>
    </row>
    <row r="36" spans="1:10" ht="18.75" x14ac:dyDescent="0.3">
      <c r="A36" s="6">
        <v>35</v>
      </c>
      <c r="B36" s="10" t="s">
        <v>115</v>
      </c>
      <c r="C36" s="10" t="s">
        <v>103</v>
      </c>
      <c r="D36" s="10">
        <v>25</v>
      </c>
      <c r="E36" s="10">
        <v>16</v>
      </c>
      <c r="F36" s="10">
        <v>10</v>
      </c>
      <c r="G36" s="10">
        <f>F36*1.1+E36*2.1+D36*3.1</f>
        <v>122.1</v>
      </c>
      <c r="H36" s="9">
        <f>G36/189</f>
        <v>0.64603174603174596</v>
      </c>
      <c r="I36" s="2"/>
      <c r="J36" s="3"/>
    </row>
    <row r="37" spans="1:10" ht="18.75" x14ac:dyDescent="0.3">
      <c r="A37" s="6">
        <v>36</v>
      </c>
      <c r="B37" s="5" t="s">
        <v>81</v>
      </c>
      <c r="C37" s="5" t="s">
        <v>67</v>
      </c>
      <c r="D37" s="5">
        <v>20</v>
      </c>
      <c r="E37" s="5">
        <v>20</v>
      </c>
      <c r="F37" s="5">
        <v>16</v>
      </c>
      <c r="G37" s="7">
        <f>(D37*3.1+E37*2.1+F37*1.1)</f>
        <v>121.6</v>
      </c>
      <c r="H37" s="9">
        <f>G37/189</f>
        <v>0.64338624338624339</v>
      </c>
      <c r="I37" s="2"/>
      <c r="J37" s="3"/>
    </row>
    <row r="38" spans="1:10" ht="18.75" x14ac:dyDescent="0.3">
      <c r="A38" s="6">
        <v>37</v>
      </c>
      <c r="B38" s="10" t="s">
        <v>116</v>
      </c>
      <c r="C38" s="10" t="s">
        <v>103</v>
      </c>
      <c r="D38" s="10">
        <v>25</v>
      </c>
      <c r="E38" s="10">
        <v>11</v>
      </c>
      <c r="F38" s="10">
        <v>19</v>
      </c>
      <c r="G38" s="10">
        <f>F38*1.1+E38*2.1+D38*3.1</f>
        <v>121.5</v>
      </c>
      <c r="H38" s="9">
        <f>G38/189</f>
        <v>0.6428571428571429</v>
      </c>
      <c r="I38" s="2"/>
      <c r="J38" s="3"/>
    </row>
    <row r="39" spans="1:10" ht="18.75" x14ac:dyDescent="0.3">
      <c r="A39" s="6">
        <v>38</v>
      </c>
      <c r="B39" s="6" t="s">
        <v>8</v>
      </c>
      <c r="C39" s="6" t="s">
        <v>38</v>
      </c>
      <c r="D39" s="5">
        <v>22</v>
      </c>
      <c r="E39" s="7">
        <v>18</v>
      </c>
      <c r="F39" s="5">
        <v>14</v>
      </c>
      <c r="G39" s="7">
        <f>(D39*3.1+E39*2.1+F39*1.1)</f>
        <v>121.4</v>
      </c>
      <c r="H39" s="9">
        <f>G39/189</f>
        <v>0.6423280423280423</v>
      </c>
      <c r="I39" s="2"/>
      <c r="J39" s="3"/>
    </row>
    <row r="40" spans="1:10" ht="18.75" x14ac:dyDescent="0.3">
      <c r="A40" s="6">
        <v>39</v>
      </c>
      <c r="B40" s="10" t="s">
        <v>117</v>
      </c>
      <c r="C40" s="10" t="s">
        <v>103</v>
      </c>
      <c r="D40" s="10">
        <v>23</v>
      </c>
      <c r="E40" s="10">
        <v>17</v>
      </c>
      <c r="F40" s="10">
        <v>13</v>
      </c>
      <c r="G40" s="10">
        <f>F40*1.1+E40*2.1+D40*3.1</f>
        <v>121.3</v>
      </c>
      <c r="H40" s="9">
        <f>G40/189</f>
        <v>0.64179894179894181</v>
      </c>
    </row>
    <row r="41" spans="1:10" ht="18.75" x14ac:dyDescent="0.3">
      <c r="A41" s="6">
        <v>40</v>
      </c>
      <c r="B41" s="6" t="s">
        <v>21</v>
      </c>
      <c r="C41" s="6" t="s">
        <v>38</v>
      </c>
      <c r="D41" s="5">
        <v>18</v>
      </c>
      <c r="E41" s="7">
        <v>17</v>
      </c>
      <c r="F41" s="5">
        <v>27</v>
      </c>
      <c r="G41" s="7">
        <f>(D41*3.1+E41*2.1+F41*1.1)</f>
        <v>121.2</v>
      </c>
      <c r="H41" s="9">
        <f>G41/189</f>
        <v>0.64126984126984132</v>
      </c>
    </row>
    <row r="42" spans="1:10" ht="18.75" x14ac:dyDescent="0.3">
      <c r="A42" s="6">
        <v>41</v>
      </c>
      <c r="B42" s="10" t="s">
        <v>118</v>
      </c>
      <c r="C42" s="10" t="s">
        <v>103</v>
      </c>
      <c r="D42" s="10">
        <v>16</v>
      </c>
      <c r="E42" s="10">
        <v>26</v>
      </c>
      <c r="F42" s="10">
        <v>15</v>
      </c>
      <c r="G42" s="10">
        <f>F42*1.1+E42*2.1+D42*3.1</f>
        <v>120.69999999999999</v>
      </c>
      <c r="H42" s="9">
        <f>G42/189</f>
        <v>0.63862433862433854</v>
      </c>
    </row>
    <row r="43" spans="1:10" ht="18.75" x14ac:dyDescent="0.3">
      <c r="A43" s="6">
        <v>42</v>
      </c>
      <c r="B43" s="10" t="s">
        <v>119</v>
      </c>
      <c r="C43" s="10" t="s">
        <v>103</v>
      </c>
      <c r="D43" s="10">
        <v>24</v>
      </c>
      <c r="E43" s="10">
        <v>12</v>
      </c>
      <c r="F43" s="10">
        <v>19</v>
      </c>
      <c r="G43" s="10">
        <f>F43*1.1+E43*2.1+D43*3.1</f>
        <v>120.50000000000001</v>
      </c>
      <c r="H43" s="9">
        <f>G43/189</f>
        <v>0.63756613756613767</v>
      </c>
    </row>
    <row r="44" spans="1:10" ht="18.75" x14ac:dyDescent="0.3">
      <c r="A44" s="6">
        <v>43</v>
      </c>
      <c r="B44" s="10" t="s">
        <v>120</v>
      </c>
      <c r="C44" s="10" t="s">
        <v>103</v>
      </c>
      <c r="D44" s="10">
        <v>22</v>
      </c>
      <c r="E44" s="10">
        <v>17</v>
      </c>
      <c r="F44" s="10">
        <v>15</v>
      </c>
      <c r="G44" s="10">
        <f>F44*1.1+E44*2.1+D44*3.1</f>
        <v>120.4</v>
      </c>
      <c r="H44" s="9">
        <f>G44/189</f>
        <v>0.63703703703703707</v>
      </c>
    </row>
    <row r="45" spans="1:10" ht="18.75" x14ac:dyDescent="0.3">
      <c r="A45" s="6">
        <v>44</v>
      </c>
      <c r="B45" s="6" t="s">
        <v>11</v>
      </c>
      <c r="C45" s="6" t="s">
        <v>38</v>
      </c>
      <c r="D45" s="5">
        <v>23</v>
      </c>
      <c r="E45" s="7">
        <v>17</v>
      </c>
      <c r="F45" s="5">
        <v>12</v>
      </c>
      <c r="G45" s="7">
        <f>(D45*3.1+E45*2.1+F45*1.1)</f>
        <v>120.2</v>
      </c>
      <c r="H45" s="9">
        <f>G45/189</f>
        <v>0.63597883597883598</v>
      </c>
    </row>
    <row r="46" spans="1:10" ht="18.75" x14ac:dyDescent="0.3">
      <c r="A46" s="6">
        <v>45</v>
      </c>
      <c r="B46" s="6" t="s">
        <v>23</v>
      </c>
      <c r="C46" s="6" t="s">
        <v>38</v>
      </c>
      <c r="D46" s="5">
        <v>25</v>
      </c>
      <c r="E46" s="7">
        <v>17</v>
      </c>
      <c r="F46" s="5">
        <v>6</v>
      </c>
      <c r="G46" s="7">
        <f>(D46*3.1+E46*2.1+F46*1.1)</f>
        <v>119.8</v>
      </c>
      <c r="H46" s="9">
        <f>G46/189</f>
        <v>0.63386243386243379</v>
      </c>
    </row>
    <row r="47" spans="1:10" ht="18.75" x14ac:dyDescent="0.3">
      <c r="A47" s="6">
        <v>46</v>
      </c>
      <c r="B47" s="5" t="s">
        <v>82</v>
      </c>
      <c r="C47" s="5" t="s">
        <v>67</v>
      </c>
      <c r="D47" s="5">
        <v>18</v>
      </c>
      <c r="E47" s="5">
        <v>21</v>
      </c>
      <c r="F47" s="5">
        <v>18</v>
      </c>
      <c r="G47" s="7">
        <f>(D47*3.1+E47*2.1+F47*1.1)</f>
        <v>119.7</v>
      </c>
      <c r="H47" s="9">
        <f>G47/189</f>
        <v>0.6333333333333333</v>
      </c>
    </row>
    <row r="48" spans="1:10" ht="18.75" x14ac:dyDescent="0.3">
      <c r="A48" s="6">
        <v>47</v>
      </c>
      <c r="B48" s="5" t="s">
        <v>83</v>
      </c>
      <c r="C48" s="5" t="s">
        <v>67</v>
      </c>
      <c r="D48" s="5">
        <v>20</v>
      </c>
      <c r="E48" s="5">
        <v>17</v>
      </c>
      <c r="F48" s="5">
        <v>20</v>
      </c>
      <c r="G48" s="7">
        <f>(D48*3.1+E48*2.1+F48*1.1)</f>
        <v>119.7</v>
      </c>
      <c r="H48" s="9">
        <f>G48/189</f>
        <v>0.6333333333333333</v>
      </c>
    </row>
    <row r="49" spans="1:8" ht="18.75" x14ac:dyDescent="0.3">
      <c r="A49" s="6">
        <v>48</v>
      </c>
      <c r="B49" s="5" t="s">
        <v>84</v>
      </c>
      <c r="C49" s="5" t="s">
        <v>67</v>
      </c>
      <c r="D49" s="5">
        <v>18</v>
      </c>
      <c r="E49" s="5">
        <v>22</v>
      </c>
      <c r="F49" s="5">
        <v>16</v>
      </c>
      <c r="G49" s="7">
        <f>(D49*3.1+E49*2.1+F49*1.1)</f>
        <v>119.6</v>
      </c>
      <c r="H49" s="9">
        <f>G49/189</f>
        <v>0.63280423280423281</v>
      </c>
    </row>
    <row r="50" spans="1:8" ht="18.75" x14ac:dyDescent="0.3">
      <c r="A50" s="6">
        <v>49</v>
      </c>
      <c r="B50" s="10" t="s">
        <v>121</v>
      </c>
      <c r="C50" s="10" t="s">
        <v>103</v>
      </c>
      <c r="D50" s="10">
        <v>17</v>
      </c>
      <c r="E50" s="10">
        <v>25</v>
      </c>
      <c r="F50" s="10">
        <v>13</v>
      </c>
      <c r="G50" s="10">
        <f>F50*1.1+E50*2.1+D50*3.1</f>
        <v>119.5</v>
      </c>
      <c r="H50" s="9">
        <f>G50/189</f>
        <v>0.63227513227513232</v>
      </c>
    </row>
    <row r="51" spans="1:8" ht="18.75" x14ac:dyDescent="0.3">
      <c r="A51" s="6">
        <v>50</v>
      </c>
      <c r="B51" s="6" t="s">
        <v>35</v>
      </c>
      <c r="C51" s="6" t="s">
        <v>38</v>
      </c>
      <c r="D51" s="5">
        <v>22</v>
      </c>
      <c r="E51" s="7">
        <v>17</v>
      </c>
      <c r="F51" s="5">
        <v>14</v>
      </c>
      <c r="G51" s="7">
        <f>(D51*3.1+E51*2.1+F51*1.1)</f>
        <v>119.30000000000001</v>
      </c>
      <c r="H51" s="9">
        <f>G51/189</f>
        <v>0.63121693121693123</v>
      </c>
    </row>
    <row r="52" spans="1:8" ht="18.75" x14ac:dyDescent="0.3">
      <c r="A52" s="6">
        <v>51</v>
      </c>
      <c r="B52" s="5" t="s">
        <v>43</v>
      </c>
      <c r="C52" s="5" t="s">
        <v>40</v>
      </c>
      <c r="D52" s="5">
        <v>19</v>
      </c>
      <c r="E52" s="5">
        <v>19</v>
      </c>
      <c r="F52" s="5">
        <v>18</v>
      </c>
      <c r="G52" s="5">
        <v>118.6</v>
      </c>
      <c r="H52" s="9">
        <f>G52/189</f>
        <v>0.62751322751322747</v>
      </c>
    </row>
    <row r="53" spans="1:8" ht="18.75" x14ac:dyDescent="0.3">
      <c r="A53" s="6">
        <v>52</v>
      </c>
      <c r="B53" s="10" t="s">
        <v>122</v>
      </c>
      <c r="C53" s="10" t="s">
        <v>103</v>
      </c>
      <c r="D53" s="10">
        <v>22</v>
      </c>
      <c r="E53" s="10">
        <v>17</v>
      </c>
      <c r="F53" s="10">
        <v>13</v>
      </c>
      <c r="G53" s="10">
        <f>F53*1.1+E53*2.1+D53*3.1</f>
        <v>118.2</v>
      </c>
      <c r="H53" s="9">
        <f>G53/189</f>
        <v>0.6253968253968254</v>
      </c>
    </row>
    <row r="54" spans="1:8" ht="18.75" x14ac:dyDescent="0.3">
      <c r="A54" s="6">
        <v>53</v>
      </c>
      <c r="B54" s="10" t="s">
        <v>123</v>
      </c>
      <c r="C54" s="10" t="s">
        <v>103</v>
      </c>
      <c r="D54" s="10">
        <v>20</v>
      </c>
      <c r="E54" s="10">
        <v>22</v>
      </c>
      <c r="F54" s="10">
        <v>9</v>
      </c>
      <c r="G54" s="10">
        <f>F54*1.1+E54*2.1+D54*3.1</f>
        <v>118.1</v>
      </c>
      <c r="H54" s="9">
        <f>G54/189</f>
        <v>0.62486772486772479</v>
      </c>
    </row>
    <row r="55" spans="1:8" ht="18.75" x14ac:dyDescent="0.3">
      <c r="A55" s="6">
        <v>54</v>
      </c>
      <c r="B55" s="5" t="s">
        <v>85</v>
      </c>
      <c r="C55" s="5" t="s">
        <v>67</v>
      </c>
      <c r="D55" s="5">
        <v>19</v>
      </c>
      <c r="E55" s="5">
        <v>17</v>
      </c>
      <c r="F55" s="5">
        <v>21</v>
      </c>
      <c r="G55" s="7">
        <f>(D55*3.1+E55*2.1+F55*1.1)</f>
        <v>117.69999999999999</v>
      </c>
      <c r="H55" s="9">
        <f>G55/189</f>
        <v>0.62275132275132272</v>
      </c>
    </row>
    <row r="56" spans="1:8" ht="18.75" x14ac:dyDescent="0.3">
      <c r="A56" s="6">
        <v>55</v>
      </c>
      <c r="B56" s="6" t="s">
        <v>10</v>
      </c>
      <c r="C56" s="6" t="s">
        <v>38</v>
      </c>
      <c r="D56" s="5">
        <v>22</v>
      </c>
      <c r="E56" s="7">
        <v>17</v>
      </c>
      <c r="F56" s="5">
        <v>12</v>
      </c>
      <c r="G56" s="7">
        <f>(D56*3.1+E56*2.1+F56*1.1)</f>
        <v>117.10000000000001</v>
      </c>
      <c r="H56" s="9">
        <f>G56/189</f>
        <v>0.61957671957671967</v>
      </c>
    </row>
    <row r="57" spans="1:8" ht="18.75" x14ac:dyDescent="0.3">
      <c r="A57" s="6">
        <v>56</v>
      </c>
      <c r="B57" s="5" t="s">
        <v>86</v>
      </c>
      <c r="C57" s="5" t="s">
        <v>67</v>
      </c>
      <c r="D57" s="5">
        <v>15</v>
      </c>
      <c r="E57" s="5">
        <v>23</v>
      </c>
      <c r="F57" s="5">
        <v>20</v>
      </c>
      <c r="G57" s="7">
        <f>(D57*3.1+E57*2.1+F57*1.1)</f>
        <v>116.80000000000001</v>
      </c>
      <c r="H57" s="9">
        <f>G57/189</f>
        <v>0.61798941798941809</v>
      </c>
    </row>
    <row r="58" spans="1:8" ht="18.75" x14ac:dyDescent="0.3">
      <c r="A58" s="6">
        <v>57</v>
      </c>
      <c r="B58" s="5" t="s">
        <v>44</v>
      </c>
      <c r="C58" s="5" t="s">
        <v>40</v>
      </c>
      <c r="D58" s="5">
        <v>20</v>
      </c>
      <c r="E58" s="5">
        <v>17</v>
      </c>
      <c r="F58" s="5">
        <v>17</v>
      </c>
      <c r="G58" s="5">
        <v>116.4</v>
      </c>
      <c r="H58" s="9">
        <f>G58/189</f>
        <v>0.61587301587301591</v>
      </c>
    </row>
    <row r="59" spans="1:8" ht="18.75" x14ac:dyDescent="0.3">
      <c r="A59" s="6">
        <v>58</v>
      </c>
      <c r="B59" s="5" t="s">
        <v>45</v>
      </c>
      <c r="C59" s="5" t="s">
        <v>40</v>
      </c>
      <c r="D59" s="5">
        <v>21</v>
      </c>
      <c r="E59" s="5">
        <v>15</v>
      </c>
      <c r="F59" s="5">
        <v>18</v>
      </c>
      <c r="G59" s="5">
        <v>116.4</v>
      </c>
      <c r="H59" s="9">
        <f>G59/189</f>
        <v>0.61587301587301591</v>
      </c>
    </row>
    <row r="60" spans="1:8" ht="18.75" x14ac:dyDescent="0.3">
      <c r="A60" s="6">
        <v>59</v>
      </c>
      <c r="B60" s="10" t="s">
        <v>124</v>
      </c>
      <c r="C60" s="10" t="s">
        <v>103</v>
      </c>
      <c r="D60" s="10">
        <v>21</v>
      </c>
      <c r="E60" s="10">
        <v>15</v>
      </c>
      <c r="F60" s="10">
        <v>18</v>
      </c>
      <c r="G60" s="10">
        <f>F60*1.1+E60*2.1+D60*3.1</f>
        <v>116.4</v>
      </c>
      <c r="H60" s="9">
        <f>G60/189</f>
        <v>0.61587301587301591</v>
      </c>
    </row>
    <row r="61" spans="1:8" ht="18.75" x14ac:dyDescent="0.3">
      <c r="A61" s="6">
        <v>60</v>
      </c>
      <c r="B61" s="5" t="s">
        <v>87</v>
      </c>
      <c r="C61" s="5" t="s">
        <v>67</v>
      </c>
      <c r="D61" s="5">
        <v>22</v>
      </c>
      <c r="E61" s="5">
        <v>14</v>
      </c>
      <c r="F61" s="5">
        <v>17</v>
      </c>
      <c r="G61" s="7">
        <f>(D61*3.1+E61*2.1+F61*1.1)</f>
        <v>116.30000000000001</v>
      </c>
      <c r="H61" s="9">
        <f>G61/189</f>
        <v>0.61534391534391542</v>
      </c>
    </row>
    <row r="62" spans="1:8" ht="18.75" x14ac:dyDescent="0.3">
      <c r="A62" s="6">
        <v>61</v>
      </c>
      <c r="B62" s="5" t="s">
        <v>46</v>
      </c>
      <c r="C62" s="5" t="s">
        <v>40</v>
      </c>
      <c r="D62" s="5">
        <v>22</v>
      </c>
      <c r="E62" s="5">
        <v>15</v>
      </c>
      <c r="F62" s="5">
        <v>15</v>
      </c>
      <c r="G62" s="5">
        <v>116.2</v>
      </c>
      <c r="H62" s="9">
        <f>G62/189</f>
        <v>0.61481481481481481</v>
      </c>
    </row>
    <row r="63" spans="1:8" ht="18.75" x14ac:dyDescent="0.3">
      <c r="A63" s="6">
        <v>62</v>
      </c>
      <c r="B63" s="10" t="s">
        <v>125</v>
      </c>
      <c r="C63" s="10" t="s">
        <v>103</v>
      </c>
      <c r="D63" s="10">
        <v>20</v>
      </c>
      <c r="E63" s="10">
        <v>20</v>
      </c>
      <c r="F63" s="10">
        <v>11</v>
      </c>
      <c r="G63" s="10">
        <f>F63*1.1+E63*2.1+D63*3.1</f>
        <v>116.1</v>
      </c>
      <c r="H63" s="9">
        <f>G63/189</f>
        <v>0.61428571428571421</v>
      </c>
    </row>
    <row r="64" spans="1:8" ht="18.75" x14ac:dyDescent="0.3">
      <c r="A64" s="6">
        <v>63</v>
      </c>
      <c r="B64" s="6" t="s">
        <v>9</v>
      </c>
      <c r="C64" s="6" t="s">
        <v>38</v>
      </c>
      <c r="D64" s="5">
        <v>23</v>
      </c>
      <c r="E64" s="7">
        <v>16</v>
      </c>
      <c r="F64" s="5">
        <v>10</v>
      </c>
      <c r="G64" s="7">
        <f>(D64*3.1+E64*2.1+F64*1.1)</f>
        <v>115.9</v>
      </c>
      <c r="H64" s="9">
        <f>G64/189</f>
        <v>0.61322751322751323</v>
      </c>
    </row>
    <row r="65" spans="1:8" ht="18.75" x14ac:dyDescent="0.3">
      <c r="A65" s="6">
        <v>64</v>
      </c>
      <c r="B65" s="10" t="s">
        <v>126</v>
      </c>
      <c r="C65" s="10" t="s">
        <v>103</v>
      </c>
      <c r="D65" s="10">
        <v>22</v>
      </c>
      <c r="E65" s="10">
        <v>15</v>
      </c>
      <c r="F65" s="10">
        <v>14</v>
      </c>
      <c r="G65" s="10">
        <f>F65*1.1+E65*2.1+D65*3.1</f>
        <v>115.10000000000001</v>
      </c>
      <c r="H65" s="9">
        <f>G65/189</f>
        <v>0.60899470899470909</v>
      </c>
    </row>
    <row r="66" spans="1:8" ht="18.75" x14ac:dyDescent="0.3">
      <c r="A66" s="6">
        <v>65</v>
      </c>
      <c r="B66" s="10" t="s">
        <v>127</v>
      </c>
      <c r="C66" s="10" t="s">
        <v>103</v>
      </c>
      <c r="D66" s="10">
        <v>17</v>
      </c>
      <c r="E66" s="10">
        <v>21</v>
      </c>
      <c r="F66" s="10">
        <v>16</v>
      </c>
      <c r="G66" s="10">
        <f>F66*1.1+E66*2.1+D66*3.1</f>
        <v>114.4</v>
      </c>
      <c r="H66" s="9">
        <f>G66/189</f>
        <v>0.60529100529100532</v>
      </c>
    </row>
    <row r="67" spans="1:8" ht="18.75" x14ac:dyDescent="0.3">
      <c r="A67" s="6">
        <v>66</v>
      </c>
      <c r="B67" s="5" t="s">
        <v>47</v>
      </c>
      <c r="C67" s="5" t="s">
        <v>40</v>
      </c>
      <c r="D67" s="5">
        <v>21</v>
      </c>
      <c r="E67" s="5">
        <v>18</v>
      </c>
      <c r="F67" s="5">
        <v>8</v>
      </c>
      <c r="G67" s="5">
        <v>111.70000000000002</v>
      </c>
      <c r="H67" s="9">
        <f>G67/189</f>
        <v>0.59100529100529109</v>
      </c>
    </row>
    <row r="68" spans="1:8" ht="18.75" x14ac:dyDescent="0.3">
      <c r="A68" s="6">
        <v>67</v>
      </c>
      <c r="B68" s="6" t="s">
        <v>22</v>
      </c>
      <c r="C68" s="6" t="s">
        <v>38</v>
      </c>
      <c r="D68" s="5">
        <v>20</v>
      </c>
      <c r="E68" s="7">
        <v>14</v>
      </c>
      <c r="F68" s="5">
        <v>18</v>
      </c>
      <c r="G68" s="7">
        <f>(D68*3.1+E68*2.1+F68*1.1)</f>
        <v>111.2</v>
      </c>
      <c r="H68" s="9">
        <f>G68/189</f>
        <v>0.58835978835978842</v>
      </c>
    </row>
    <row r="69" spans="1:8" ht="18.75" x14ac:dyDescent="0.3">
      <c r="A69" s="6">
        <v>68</v>
      </c>
      <c r="B69" s="10" t="s">
        <v>128</v>
      </c>
      <c r="C69" s="10" t="s">
        <v>103</v>
      </c>
      <c r="D69" s="10">
        <v>24</v>
      </c>
      <c r="E69" s="10">
        <v>14</v>
      </c>
      <c r="F69" s="10">
        <v>6</v>
      </c>
      <c r="G69" s="10">
        <f>F69*1.1+E69*2.1+D69*3.1</f>
        <v>110.4</v>
      </c>
      <c r="H69" s="9">
        <f>G69/189</f>
        <v>0.58412698412698416</v>
      </c>
    </row>
    <row r="70" spans="1:8" ht="18.75" x14ac:dyDescent="0.3">
      <c r="A70" s="6">
        <v>69</v>
      </c>
      <c r="B70" s="5" t="s">
        <v>30</v>
      </c>
      <c r="C70" s="6" t="s">
        <v>38</v>
      </c>
      <c r="D70" s="5">
        <v>20</v>
      </c>
      <c r="E70" s="7">
        <v>15</v>
      </c>
      <c r="F70" s="5">
        <v>15</v>
      </c>
      <c r="G70" s="7">
        <f>(D70*3.1+E70*2.1+F70*1.1)</f>
        <v>110</v>
      </c>
      <c r="H70" s="9">
        <f>G70/189</f>
        <v>0.58201058201058198</v>
      </c>
    </row>
    <row r="71" spans="1:8" ht="18.75" x14ac:dyDescent="0.3">
      <c r="A71" s="6">
        <v>70</v>
      </c>
      <c r="B71" s="10" t="s">
        <v>129</v>
      </c>
      <c r="C71" s="10" t="s">
        <v>103</v>
      </c>
      <c r="D71" s="10">
        <v>25</v>
      </c>
      <c r="E71" s="10">
        <v>8</v>
      </c>
      <c r="F71" s="10">
        <v>14</v>
      </c>
      <c r="G71" s="10">
        <f>F71*1.1+E71*2.1+D71*3.1</f>
        <v>109.7</v>
      </c>
      <c r="H71" s="9">
        <f>G71/189</f>
        <v>0.5804232804232804</v>
      </c>
    </row>
    <row r="72" spans="1:8" ht="18.75" x14ac:dyDescent="0.3">
      <c r="A72" s="6">
        <v>71</v>
      </c>
      <c r="B72" s="6" t="s">
        <v>15</v>
      </c>
      <c r="C72" s="6" t="s">
        <v>38</v>
      </c>
      <c r="D72" s="5">
        <v>21</v>
      </c>
      <c r="E72" s="7">
        <v>17</v>
      </c>
      <c r="F72" s="5">
        <v>8</v>
      </c>
      <c r="G72" s="7">
        <f>(D72*3.1+E72*2.1+F72*1.1)</f>
        <v>109.60000000000001</v>
      </c>
      <c r="H72" s="9">
        <f>G72/189</f>
        <v>0.57989417989417991</v>
      </c>
    </row>
    <row r="73" spans="1:8" ht="18.75" x14ac:dyDescent="0.3">
      <c r="A73" s="6">
        <v>72</v>
      </c>
      <c r="B73" s="10" t="s">
        <v>130</v>
      </c>
      <c r="C73" s="10" t="s">
        <v>103</v>
      </c>
      <c r="D73" s="10">
        <v>24</v>
      </c>
      <c r="E73" s="10">
        <v>12</v>
      </c>
      <c r="F73" s="10">
        <v>9</v>
      </c>
      <c r="G73" s="10">
        <f>F73*1.1+E73*2.1+D73*3.1</f>
        <v>109.5</v>
      </c>
      <c r="H73" s="9">
        <f>G73/189</f>
        <v>0.57936507936507942</v>
      </c>
    </row>
    <row r="74" spans="1:8" ht="18.75" x14ac:dyDescent="0.3">
      <c r="A74" s="6">
        <v>73</v>
      </c>
      <c r="B74" s="6" t="s">
        <v>7</v>
      </c>
      <c r="C74" s="6" t="s">
        <v>38</v>
      </c>
      <c r="D74" s="5">
        <v>24</v>
      </c>
      <c r="E74" s="7">
        <v>13</v>
      </c>
      <c r="F74" s="5">
        <v>7</v>
      </c>
      <c r="G74" s="7">
        <f>(D74*3.1+E74*2.1+F74*1.1)</f>
        <v>109.4</v>
      </c>
      <c r="H74" s="9">
        <f>G74/189</f>
        <v>0.57883597883597881</v>
      </c>
    </row>
    <row r="75" spans="1:8" ht="18.75" x14ac:dyDescent="0.3">
      <c r="A75" s="6">
        <v>74</v>
      </c>
      <c r="B75" s="5" t="s">
        <v>88</v>
      </c>
      <c r="C75" s="5" t="s">
        <v>67</v>
      </c>
      <c r="D75" s="5">
        <v>20</v>
      </c>
      <c r="E75" s="5">
        <v>14</v>
      </c>
      <c r="F75" s="5">
        <v>16</v>
      </c>
      <c r="G75" s="7">
        <f>(D75*3.1+E75*2.1+F75*1.1)</f>
        <v>109</v>
      </c>
      <c r="H75" s="9">
        <f>G75/189</f>
        <v>0.57671957671957674</v>
      </c>
    </row>
    <row r="76" spans="1:8" ht="18.75" x14ac:dyDescent="0.3">
      <c r="A76" s="6">
        <v>75</v>
      </c>
      <c r="B76" s="10" t="s">
        <v>131</v>
      </c>
      <c r="C76" s="10" t="s">
        <v>103</v>
      </c>
      <c r="D76" s="10">
        <v>23</v>
      </c>
      <c r="E76" s="10">
        <v>13</v>
      </c>
      <c r="F76" s="10">
        <v>9</v>
      </c>
      <c r="G76" s="10">
        <f>F76*1.1+E76*2.1+D76*3.1</f>
        <v>108.5</v>
      </c>
      <c r="H76" s="9">
        <f>G76/189</f>
        <v>0.57407407407407407</v>
      </c>
    </row>
    <row r="77" spans="1:8" ht="18.75" x14ac:dyDescent="0.3">
      <c r="A77" s="6">
        <v>76</v>
      </c>
      <c r="B77" s="6" t="s">
        <v>19</v>
      </c>
      <c r="C77" s="6" t="s">
        <v>38</v>
      </c>
      <c r="D77" s="5">
        <v>22</v>
      </c>
      <c r="E77" s="7">
        <v>16</v>
      </c>
      <c r="F77" s="5">
        <v>6</v>
      </c>
      <c r="G77" s="7">
        <f>(D77*3.1+E77*2.1+F77*1.1)</f>
        <v>108.4</v>
      </c>
      <c r="H77" s="9">
        <f>G77/189</f>
        <v>0.57354497354497358</v>
      </c>
    </row>
    <row r="78" spans="1:8" ht="18.75" x14ac:dyDescent="0.3">
      <c r="A78" s="6">
        <v>77</v>
      </c>
      <c r="B78" s="5" t="s">
        <v>48</v>
      </c>
      <c r="C78" s="5" t="s">
        <v>40</v>
      </c>
      <c r="D78" s="5">
        <v>19</v>
      </c>
      <c r="E78" s="5">
        <v>15</v>
      </c>
      <c r="F78" s="5">
        <v>16</v>
      </c>
      <c r="G78" s="5">
        <v>108</v>
      </c>
      <c r="H78" s="9">
        <f>G78/189</f>
        <v>0.5714285714285714</v>
      </c>
    </row>
    <row r="79" spans="1:8" ht="18.75" x14ac:dyDescent="0.3">
      <c r="A79" s="6">
        <v>78</v>
      </c>
      <c r="B79" s="10" t="s">
        <v>132</v>
      </c>
      <c r="C79" s="10" t="s">
        <v>103</v>
      </c>
      <c r="D79" s="10">
        <v>22</v>
      </c>
      <c r="E79" s="10">
        <v>12</v>
      </c>
      <c r="F79" s="10">
        <v>13</v>
      </c>
      <c r="G79" s="10">
        <f>F79*1.1+E79*2.1+D79*3.1</f>
        <v>107.7</v>
      </c>
      <c r="H79" s="9">
        <f>G79/189</f>
        <v>0.56984126984126982</v>
      </c>
    </row>
    <row r="80" spans="1:8" ht="18.75" x14ac:dyDescent="0.3">
      <c r="A80" s="6">
        <v>79</v>
      </c>
      <c r="B80" s="10" t="s">
        <v>133</v>
      </c>
      <c r="C80" s="10" t="s">
        <v>103</v>
      </c>
      <c r="D80" s="10">
        <v>17</v>
      </c>
      <c r="E80" s="10">
        <v>22</v>
      </c>
      <c r="F80" s="10">
        <v>8</v>
      </c>
      <c r="G80" s="10">
        <f>F80*1.1+E80*2.1+D80*3.1</f>
        <v>107.7</v>
      </c>
      <c r="H80" s="9">
        <f>G80/189</f>
        <v>0.56984126984126982</v>
      </c>
    </row>
    <row r="81" spans="1:8" ht="18.75" x14ac:dyDescent="0.3">
      <c r="A81" s="6">
        <v>80</v>
      </c>
      <c r="B81" s="5" t="s">
        <v>31</v>
      </c>
      <c r="C81" s="6" t="s">
        <v>38</v>
      </c>
      <c r="D81" s="5">
        <v>20</v>
      </c>
      <c r="E81" s="7">
        <v>17</v>
      </c>
      <c r="F81" s="5">
        <v>9</v>
      </c>
      <c r="G81" s="7">
        <f>(D81*3.1+E81*2.1+F81*1.1)</f>
        <v>107.60000000000001</v>
      </c>
      <c r="H81" s="9">
        <f>G81/189</f>
        <v>0.56931216931216932</v>
      </c>
    </row>
    <row r="82" spans="1:8" ht="18.75" x14ac:dyDescent="0.3">
      <c r="A82" s="6">
        <v>81</v>
      </c>
      <c r="B82" s="10" t="s">
        <v>134</v>
      </c>
      <c r="C82" s="10" t="s">
        <v>103</v>
      </c>
      <c r="D82" s="10">
        <v>22</v>
      </c>
      <c r="E82" s="10">
        <v>15</v>
      </c>
      <c r="F82" s="10">
        <v>7</v>
      </c>
      <c r="G82" s="10">
        <f>F82*1.1+E82*2.1+D82*3.1</f>
        <v>107.4</v>
      </c>
      <c r="H82" s="9">
        <f>G82/189</f>
        <v>0.56825396825396823</v>
      </c>
    </row>
    <row r="83" spans="1:8" ht="18.75" x14ac:dyDescent="0.3">
      <c r="A83" s="6">
        <v>82</v>
      </c>
      <c r="B83" s="5" t="s">
        <v>49</v>
      </c>
      <c r="C83" s="5" t="s">
        <v>40</v>
      </c>
      <c r="D83" s="5">
        <v>16</v>
      </c>
      <c r="E83" s="5">
        <v>17</v>
      </c>
      <c r="F83" s="5">
        <v>20</v>
      </c>
      <c r="G83" s="5">
        <v>107.30000000000001</v>
      </c>
      <c r="H83" s="9">
        <f>G83/189</f>
        <v>0.56772486772486774</v>
      </c>
    </row>
    <row r="84" spans="1:8" ht="18.75" x14ac:dyDescent="0.3">
      <c r="A84" s="6">
        <v>83</v>
      </c>
      <c r="B84" s="5" t="s">
        <v>89</v>
      </c>
      <c r="C84" s="5" t="s">
        <v>67</v>
      </c>
      <c r="D84" s="5">
        <v>19</v>
      </c>
      <c r="E84" s="5">
        <v>14</v>
      </c>
      <c r="F84" s="5">
        <v>17</v>
      </c>
      <c r="G84" s="7">
        <f>(D84*3.1+E84*2.1+F84*1.1)</f>
        <v>107</v>
      </c>
      <c r="H84" s="9">
        <f>G84/189</f>
        <v>0.56613756613756616</v>
      </c>
    </row>
    <row r="85" spans="1:8" ht="18.75" x14ac:dyDescent="0.3">
      <c r="A85" s="6">
        <v>84</v>
      </c>
      <c r="B85" s="5" t="s">
        <v>50</v>
      </c>
      <c r="C85" s="5" t="s">
        <v>40</v>
      </c>
      <c r="D85" s="5">
        <v>18</v>
      </c>
      <c r="E85" s="5">
        <v>19</v>
      </c>
      <c r="F85" s="5">
        <v>10</v>
      </c>
      <c r="G85" s="5">
        <v>106.7</v>
      </c>
      <c r="H85" s="9">
        <f>G85/189</f>
        <v>0.56455026455026458</v>
      </c>
    </row>
    <row r="86" spans="1:8" ht="18.75" x14ac:dyDescent="0.3">
      <c r="A86" s="6">
        <v>85</v>
      </c>
      <c r="B86" s="6" t="s">
        <v>6</v>
      </c>
      <c r="C86" s="6" t="s">
        <v>38</v>
      </c>
      <c r="D86" s="5">
        <v>20</v>
      </c>
      <c r="E86" s="7">
        <v>17</v>
      </c>
      <c r="F86" s="5">
        <v>8</v>
      </c>
      <c r="G86" s="7">
        <f>(D86*3.1+E86*2.1+F86*1.1)</f>
        <v>106.5</v>
      </c>
      <c r="H86" s="9">
        <f>G86/189</f>
        <v>0.56349206349206349</v>
      </c>
    </row>
    <row r="87" spans="1:8" ht="18.75" x14ac:dyDescent="0.3">
      <c r="A87" s="6">
        <v>86</v>
      </c>
      <c r="B87" s="6" t="s">
        <v>5</v>
      </c>
      <c r="C87" s="6" t="s">
        <v>38</v>
      </c>
      <c r="D87" s="5">
        <v>20</v>
      </c>
      <c r="E87" s="7">
        <v>13</v>
      </c>
      <c r="F87" s="5">
        <v>15</v>
      </c>
      <c r="G87" s="7">
        <f>(D87*3.1+E87*2.1+F87*1.1)</f>
        <v>105.8</v>
      </c>
      <c r="H87" s="9">
        <f>G87/189</f>
        <v>0.55978835978835972</v>
      </c>
    </row>
    <row r="88" spans="1:8" ht="18.75" x14ac:dyDescent="0.3">
      <c r="A88" s="6">
        <v>87</v>
      </c>
      <c r="B88" s="10" t="s">
        <v>135</v>
      </c>
      <c r="C88" s="10" t="s">
        <v>103</v>
      </c>
      <c r="D88" s="10">
        <v>18</v>
      </c>
      <c r="E88" s="10">
        <v>19</v>
      </c>
      <c r="F88" s="10">
        <v>9</v>
      </c>
      <c r="G88" s="10">
        <f>F88*1.1+E88*2.1+D88*3.1</f>
        <v>105.6</v>
      </c>
      <c r="H88" s="9">
        <f>G88/189</f>
        <v>0.55873015873015874</v>
      </c>
    </row>
    <row r="89" spans="1:8" ht="18.75" x14ac:dyDescent="0.3">
      <c r="A89" s="6">
        <v>88</v>
      </c>
      <c r="B89" s="10" t="s">
        <v>136</v>
      </c>
      <c r="C89" s="10" t="s">
        <v>103</v>
      </c>
      <c r="D89" s="10">
        <v>14</v>
      </c>
      <c r="E89" s="10">
        <v>20</v>
      </c>
      <c r="F89" s="10">
        <v>18</v>
      </c>
      <c r="G89" s="10">
        <f>F89*1.1+E89*2.1+D89*3.1</f>
        <v>105.19999999999999</v>
      </c>
      <c r="H89" s="9">
        <f>G89/189</f>
        <v>0.55661375661375656</v>
      </c>
    </row>
    <row r="90" spans="1:8" ht="18.75" x14ac:dyDescent="0.3">
      <c r="A90" s="6">
        <v>89</v>
      </c>
      <c r="B90" s="5" t="s">
        <v>90</v>
      </c>
      <c r="C90" s="5" t="s">
        <v>67</v>
      </c>
      <c r="D90" s="5">
        <v>19</v>
      </c>
      <c r="E90" s="5">
        <v>12</v>
      </c>
      <c r="F90" s="5">
        <v>19</v>
      </c>
      <c r="G90" s="7">
        <f>(D90*3.1+E90*2.1+F90*1.1)</f>
        <v>105</v>
      </c>
      <c r="H90" s="9">
        <f>G90/189</f>
        <v>0.55555555555555558</v>
      </c>
    </row>
    <row r="91" spans="1:8" ht="18.75" x14ac:dyDescent="0.3">
      <c r="A91" s="6">
        <v>90</v>
      </c>
      <c r="B91" s="10" t="s">
        <v>137</v>
      </c>
      <c r="C91" s="10" t="s">
        <v>103</v>
      </c>
      <c r="D91" s="10">
        <v>23</v>
      </c>
      <c r="E91" s="10">
        <v>11</v>
      </c>
      <c r="F91" s="10">
        <v>7</v>
      </c>
      <c r="G91" s="10">
        <f>F91*1.1+E91*2.1+D91*3.1</f>
        <v>102.1</v>
      </c>
      <c r="H91" s="9">
        <f>G91/189</f>
        <v>0.54021164021164014</v>
      </c>
    </row>
    <row r="92" spans="1:8" ht="18.75" x14ac:dyDescent="0.3">
      <c r="A92" s="6">
        <v>91</v>
      </c>
      <c r="B92" s="5" t="s">
        <v>91</v>
      </c>
      <c r="C92" s="5" t="s">
        <v>67</v>
      </c>
      <c r="D92" s="5">
        <v>18</v>
      </c>
      <c r="E92" s="5">
        <v>12</v>
      </c>
      <c r="F92" s="5">
        <v>19</v>
      </c>
      <c r="G92" s="7">
        <f>(D92*3.1+E92*2.1+F92*1.1)</f>
        <v>101.9</v>
      </c>
      <c r="H92" s="9">
        <f>G92/189</f>
        <v>0.53915343915343916</v>
      </c>
    </row>
    <row r="93" spans="1:8" ht="18.75" x14ac:dyDescent="0.3">
      <c r="A93" s="6">
        <v>92</v>
      </c>
      <c r="B93" s="5" t="s">
        <v>25</v>
      </c>
      <c r="C93" s="6" t="s">
        <v>38</v>
      </c>
      <c r="D93" s="5">
        <v>18</v>
      </c>
      <c r="E93" s="7">
        <v>16</v>
      </c>
      <c r="F93" s="5">
        <v>11</v>
      </c>
      <c r="G93" s="7">
        <f>(D93*3.1+E93*2.1+F93*1.1)</f>
        <v>101.5</v>
      </c>
      <c r="H93" s="9">
        <f>G93/189</f>
        <v>0.53703703703703709</v>
      </c>
    </row>
    <row r="94" spans="1:8" ht="18.75" x14ac:dyDescent="0.3">
      <c r="A94" s="6">
        <v>93</v>
      </c>
      <c r="B94" s="5" t="s">
        <v>92</v>
      </c>
      <c r="C94" s="5" t="s">
        <v>67</v>
      </c>
      <c r="D94" s="5">
        <v>23</v>
      </c>
      <c r="E94" s="5">
        <v>7</v>
      </c>
      <c r="F94" s="5">
        <v>14</v>
      </c>
      <c r="G94" s="7">
        <f>(D94*3.1+E94*2.1+F94*1.1)</f>
        <v>101.4</v>
      </c>
      <c r="H94" s="9">
        <f>G94/189</f>
        <v>0.53650793650793649</v>
      </c>
    </row>
    <row r="95" spans="1:8" ht="18.75" x14ac:dyDescent="0.3">
      <c r="A95" s="6">
        <v>94</v>
      </c>
      <c r="B95" s="5" t="s">
        <v>51</v>
      </c>
      <c r="C95" s="5" t="s">
        <v>40</v>
      </c>
      <c r="D95" s="5">
        <v>15</v>
      </c>
      <c r="E95" s="5">
        <v>19</v>
      </c>
      <c r="F95" s="5">
        <v>13</v>
      </c>
      <c r="G95" s="5">
        <v>100.7</v>
      </c>
      <c r="H95" s="9">
        <f>G95/189</f>
        <v>0.53280423280423284</v>
      </c>
    </row>
    <row r="96" spans="1:8" ht="18.75" x14ac:dyDescent="0.3">
      <c r="A96" s="6">
        <v>95</v>
      </c>
      <c r="B96" s="5" t="s">
        <v>52</v>
      </c>
      <c r="C96" s="5" t="s">
        <v>40</v>
      </c>
      <c r="D96" s="5">
        <v>20</v>
      </c>
      <c r="E96" s="5">
        <v>13</v>
      </c>
      <c r="F96" s="5">
        <v>10</v>
      </c>
      <c r="G96" s="5">
        <v>100.3</v>
      </c>
      <c r="H96" s="9">
        <f>G96/189</f>
        <v>0.53068783068783065</v>
      </c>
    </row>
    <row r="97" spans="1:8" ht="18.75" x14ac:dyDescent="0.3">
      <c r="A97" s="6">
        <v>96</v>
      </c>
      <c r="B97" s="6" t="s">
        <v>16</v>
      </c>
      <c r="C97" s="6" t="s">
        <v>38</v>
      </c>
      <c r="D97" s="5">
        <v>17</v>
      </c>
      <c r="E97" s="7">
        <v>17</v>
      </c>
      <c r="F97" s="5">
        <v>10</v>
      </c>
      <c r="G97" s="7">
        <f>(D97*3.1+E97*2.1+F97*1.1)</f>
        <v>99.4</v>
      </c>
      <c r="H97" s="9">
        <f>G97/189</f>
        <v>0.52592592592592591</v>
      </c>
    </row>
    <row r="98" spans="1:8" ht="18.75" x14ac:dyDescent="0.3">
      <c r="A98" s="6">
        <v>97</v>
      </c>
      <c r="B98" s="10" t="s">
        <v>138</v>
      </c>
      <c r="C98" s="10" t="s">
        <v>103</v>
      </c>
      <c r="D98" s="10">
        <v>23</v>
      </c>
      <c r="E98" s="10">
        <v>9</v>
      </c>
      <c r="F98" s="10">
        <v>8</v>
      </c>
      <c r="G98" s="10">
        <f>F98*1.1+E98*2.1+D98*3.1</f>
        <v>99</v>
      </c>
      <c r="H98" s="9">
        <f>G98/189</f>
        <v>0.52380952380952384</v>
      </c>
    </row>
    <row r="99" spans="1:8" ht="18.75" x14ac:dyDescent="0.3">
      <c r="A99" s="6">
        <v>98</v>
      </c>
      <c r="B99" s="10" t="s">
        <v>139</v>
      </c>
      <c r="C99" s="10" t="s">
        <v>103</v>
      </c>
      <c r="D99" s="10">
        <v>17</v>
      </c>
      <c r="E99" s="10">
        <v>12</v>
      </c>
      <c r="F99" s="10">
        <v>19</v>
      </c>
      <c r="G99" s="10">
        <f>F99*1.1+E99*2.1+D99*3.1</f>
        <v>98.800000000000011</v>
      </c>
      <c r="H99" s="9">
        <f>G99/189</f>
        <v>0.52275132275132286</v>
      </c>
    </row>
    <row r="100" spans="1:8" ht="18.75" x14ac:dyDescent="0.3">
      <c r="A100" s="6">
        <v>99</v>
      </c>
      <c r="B100" s="5" t="s">
        <v>93</v>
      </c>
      <c r="C100" s="5" t="s">
        <v>67</v>
      </c>
      <c r="D100" s="5">
        <v>17</v>
      </c>
      <c r="E100" s="5">
        <v>14</v>
      </c>
      <c r="F100" s="5">
        <v>15</v>
      </c>
      <c r="G100" s="7">
        <f>(D100*3.1+E100*2.1+F100*1.1)</f>
        <v>98.600000000000009</v>
      </c>
      <c r="H100" s="9">
        <f>G100/189</f>
        <v>0.52169312169312176</v>
      </c>
    </row>
    <row r="101" spans="1:8" ht="18.75" x14ac:dyDescent="0.3">
      <c r="A101" s="6">
        <v>100</v>
      </c>
      <c r="B101" s="10" t="s">
        <v>140</v>
      </c>
      <c r="C101" s="10" t="s">
        <v>103</v>
      </c>
      <c r="D101" s="10">
        <v>20</v>
      </c>
      <c r="E101" s="10">
        <v>12</v>
      </c>
      <c r="F101" s="10">
        <v>10</v>
      </c>
      <c r="G101" s="10">
        <f>F101*1.1+E101*2.1+D101*3.1</f>
        <v>98.2</v>
      </c>
      <c r="H101" s="9">
        <f>G101/189</f>
        <v>0.51957671957671958</v>
      </c>
    </row>
    <row r="102" spans="1:8" ht="18.75" x14ac:dyDescent="0.3">
      <c r="A102" s="6">
        <v>101</v>
      </c>
      <c r="B102" s="5" t="s">
        <v>53</v>
      </c>
      <c r="C102" s="5" t="s">
        <v>40</v>
      </c>
      <c r="D102" s="5">
        <v>17</v>
      </c>
      <c r="E102" s="5">
        <v>17</v>
      </c>
      <c r="F102" s="5">
        <v>8</v>
      </c>
      <c r="G102" s="5">
        <v>97.2</v>
      </c>
      <c r="H102" s="9">
        <f>G102/189</f>
        <v>0.51428571428571435</v>
      </c>
    </row>
    <row r="103" spans="1:8" ht="18.75" x14ac:dyDescent="0.3">
      <c r="A103" s="6">
        <v>102</v>
      </c>
      <c r="B103" s="10" t="s">
        <v>141</v>
      </c>
      <c r="C103" s="10" t="s">
        <v>103</v>
      </c>
      <c r="D103" s="10">
        <v>21</v>
      </c>
      <c r="E103" s="10">
        <v>12</v>
      </c>
      <c r="F103" s="10">
        <v>6</v>
      </c>
      <c r="G103" s="10">
        <f>F103*1.1+E103*2.1+D103*3.1</f>
        <v>96.9</v>
      </c>
      <c r="H103" s="9">
        <f>G103/189</f>
        <v>0.51269841269841276</v>
      </c>
    </row>
    <row r="104" spans="1:8" ht="18.75" x14ac:dyDescent="0.3">
      <c r="A104" s="6">
        <v>103</v>
      </c>
      <c r="B104" s="10" t="s">
        <v>142</v>
      </c>
      <c r="C104" s="10" t="s">
        <v>103</v>
      </c>
      <c r="D104" s="10">
        <v>18</v>
      </c>
      <c r="E104" s="10">
        <v>12</v>
      </c>
      <c r="F104" s="10">
        <v>14</v>
      </c>
      <c r="G104" s="10">
        <f>F104*1.1+E104*2.1+D104*3.1</f>
        <v>96.4</v>
      </c>
      <c r="H104" s="9">
        <f>G104/189</f>
        <v>0.51005291005291009</v>
      </c>
    </row>
    <row r="105" spans="1:8" ht="18.75" x14ac:dyDescent="0.3">
      <c r="A105" s="6">
        <v>104</v>
      </c>
      <c r="B105" s="10" t="s">
        <v>143</v>
      </c>
      <c r="C105" s="10" t="s">
        <v>103</v>
      </c>
      <c r="D105" s="10">
        <v>15</v>
      </c>
      <c r="E105" s="10">
        <v>20</v>
      </c>
      <c r="F105" s="10">
        <v>7</v>
      </c>
      <c r="G105" s="10">
        <f>F105*1.1+E105*2.1+D105*3.1</f>
        <v>96.2</v>
      </c>
      <c r="H105" s="9">
        <f>G105/189</f>
        <v>0.508994708994709</v>
      </c>
    </row>
    <row r="106" spans="1:8" ht="18.75" x14ac:dyDescent="0.3">
      <c r="A106" s="6">
        <v>105</v>
      </c>
      <c r="B106" s="10" t="s">
        <v>144</v>
      </c>
      <c r="C106" s="10" t="s">
        <v>103</v>
      </c>
      <c r="D106" s="10">
        <v>18</v>
      </c>
      <c r="E106" s="10">
        <v>13</v>
      </c>
      <c r="F106" s="10">
        <v>11</v>
      </c>
      <c r="G106" s="10">
        <f>F106*1.1+E106*2.1+D106*3.1</f>
        <v>95.200000000000017</v>
      </c>
      <c r="H106" s="9">
        <f>G106/189</f>
        <v>0.50370370370370376</v>
      </c>
    </row>
    <row r="107" spans="1:8" ht="18.75" x14ac:dyDescent="0.3">
      <c r="A107" s="6">
        <v>106</v>
      </c>
      <c r="B107" s="10" t="s">
        <v>145</v>
      </c>
      <c r="C107" s="10" t="s">
        <v>103</v>
      </c>
      <c r="D107" s="10">
        <v>19</v>
      </c>
      <c r="E107" s="10">
        <v>11</v>
      </c>
      <c r="F107" s="10">
        <v>12</v>
      </c>
      <c r="G107" s="10">
        <f>F107*1.1+E107*2.1+D107*3.1</f>
        <v>95.2</v>
      </c>
      <c r="H107" s="9">
        <f>G107/189</f>
        <v>0.50370370370370376</v>
      </c>
    </row>
    <row r="108" spans="1:8" ht="18.75" x14ac:dyDescent="0.3">
      <c r="A108" s="6">
        <v>107</v>
      </c>
      <c r="B108" s="10" t="s">
        <v>146</v>
      </c>
      <c r="C108" s="10" t="s">
        <v>103</v>
      </c>
      <c r="D108" s="10">
        <v>23</v>
      </c>
      <c r="E108" s="10">
        <v>8</v>
      </c>
      <c r="F108" s="10">
        <v>6</v>
      </c>
      <c r="G108" s="10">
        <f>F108*1.1+E108*2.1+D108*3.1</f>
        <v>94.7</v>
      </c>
      <c r="H108" s="9">
        <f>G108/189</f>
        <v>0.50105820105820109</v>
      </c>
    </row>
    <row r="109" spans="1:8" ht="18.75" x14ac:dyDescent="0.3">
      <c r="A109" s="6">
        <v>108</v>
      </c>
      <c r="B109" s="5" t="s">
        <v>94</v>
      </c>
      <c r="C109" s="5" t="s">
        <v>67</v>
      </c>
      <c r="D109" s="5">
        <v>16</v>
      </c>
      <c r="E109" s="5">
        <v>15</v>
      </c>
      <c r="F109" s="5">
        <v>12</v>
      </c>
      <c r="G109" s="7">
        <f>(D109*3.1+E109*2.1+F109*1.1)</f>
        <v>94.3</v>
      </c>
      <c r="H109" s="9">
        <f>G109/189</f>
        <v>0.49894179894179891</v>
      </c>
    </row>
    <row r="110" spans="1:8" ht="18.75" x14ac:dyDescent="0.3">
      <c r="A110" s="6">
        <v>109</v>
      </c>
      <c r="B110" s="5" t="s">
        <v>32</v>
      </c>
      <c r="C110" s="6" t="s">
        <v>38</v>
      </c>
      <c r="D110" s="5">
        <v>16</v>
      </c>
      <c r="E110" s="7">
        <v>16</v>
      </c>
      <c r="F110" s="5">
        <v>10</v>
      </c>
      <c r="G110" s="7">
        <f>(D110*3.1+E110*2.1+F110*1.1)</f>
        <v>94.2</v>
      </c>
      <c r="H110" s="9">
        <f>G110/189</f>
        <v>0.49841269841269842</v>
      </c>
    </row>
    <row r="111" spans="1:8" ht="18.75" x14ac:dyDescent="0.3">
      <c r="A111" s="6">
        <v>110</v>
      </c>
      <c r="B111" s="10" t="s">
        <v>147</v>
      </c>
      <c r="C111" s="10" t="s">
        <v>103</v>
      </c>
      <c r="D111" s="10">
        <v>20</v>
      </c>
      <c r="E111" s="10">
        <v>11</v>
      </c>
      <c r="F111" s="10">
        <v>8</v>
      </c>
      <c r="G111" s="10">
        <f>F111*1.1+E111*2.1+D111*3.1</f>
        <v>93.9</v>
      </c>
      <c r="H111" s="9">
        <f>G111/189</f>
        <v>0.49682539682539684</v>
      </c>
    </row>
    <row r="112" spans="1:8" ht="18.75" x14ac:dyDescent="0.3">
      <c r="A112" s="6">
        <v>111</v>
      </c>
      <c r="B112" s="10" t="s">
        <v>148</v>
      </c>
      <c r="C112" s="10" t="s">
        <v>103</v>
      </c>
      <c r="D112" s="10">
        <v>18</v>
      </c>
      <c r="E112" s="10">
        <v>15</v>
      </c>
      <c r="F112" s="10">
        <v>6</v>
      </c>
      <c r="G112" s="10">
        <f>F112*1.1+E112*2.1+D112*3.1</f>
        <v>93.9</v>
      </c>
      <c r="H112" s="9">
        <f>G112/189</f>
        <v>0.49682539682539684</v>
      </c>
    </row>
    <row r="113" spans="1:8" ht="18.75" x14ac:dyDescent="0.3">
      <c r="A113" s="6">
        <v>112</v>
      </c>
      <c r="B113" s="5" t="s">
        <v>95</v>
      </c>
      <c r="C113" s="5" t="s">
        <v>67</v>
      </c>
      <c r="D113" s="5">
        <v>16</v>
      </c>
      <c r="E113" s="5">
        <v>12</v>
      </c>
      <c r="F113" s="5">
        <v>17</v>
      </c>
      <c r="G113" s="7">
        <f>(D113*3.1+E113*2.1+F113*1.1)</f>
        <v>93.500000000000014</v>
      </c>
      <c r="H113" s="9">
        <f>G113/189</f>
        <v>0.49470899470899476</v>
      </c>
    </row>
    <row r="114" spans="1:8" ht="18.75" x14ac:dyDescent="0.3">
      <c r="A114" s="6">
        <v>113</v>
      </c>
      <c r="B114" s="5" t="s">
        <v>54</v>
      </c>
      <c r="C114" s="5" t="s">
        <v>40</v>
      </c>
      <c r="D114" s="5">
        <v>12</v>
      </c>
      <c r="E114" s="5">
        <v>20</v>
      </c>
      <c r="F114" s="5">
        <v>13</v>
      </c>
      <c r="G114" s="5">
        <v>93.5</v>
      </c>
      <c r="H114" s="9">
        <f>G114/189</f>
        <v>0.49470899470899471</v>
      </c>
    </row>
    <row r="115" spans="1:8" ht="18.75" x14ac:dyDescent="0.3">
      <c r="A115" s="6">
        <v>114</v>
      </c>
      <c r="B115" s="10" t="s">
        <v>149</v>
      </c>
      <c r="C115" s="10" t="s">
        <v>103</v>
      </c>
      <c r="D115" s="10">
        <v>19</v>
      </c>
      <c r="E115" s="10">
        <v>8</v>
      </c>
      <c r="F115" s="10">
        <v>16</v>
      </c>
      <c r="G115" s="10">
        <f>F115*1.1+E115*2.1+D115*3.1</f>
        <v>93.300000000000011</v>
      </c>
      <c r="H115" s="9">
        <f>G115/189</f>
        <v>0.49365079365079373</v>
      </c>
    </row>
    <row r="116" spans="1:8" ht="18.75" x14ac:dyDescent="0.3">
      <c r="A116" s="6">
        <v>115</v>
      </c>
      <c r="B116" s="5" t="s">
        <v>96</v>
      </c>
      <c r="C116" s="5" t="s">
        <v>67</v>
      </c>
      <c r="D116" s="5">
        <v>16</v>
      </c>
      <c r="E116" s="5">
        <v>14</v>
      </c>
      <c r="F116" s="5">
        <v>13</v>
      </c>
      <c r="G116" s="7">
        <f>(D116*3.1+E116*2.1+F116*1.1)</f>
        <v>93.3</v>
      </c>
      <c r="H116" s="9">
        <f>G116/189</f>
        <v>0.49365079365079362</v>
      </c>
    </row>
    <row r="117" spans="1:8" ht="18.75" x14ac:dyDescent="0.3">
      <c r="A117" s="6">
        <v>116</v>
      </c>
      <c r="B117" s="5" t="s">
        <v>55</v>
      </c>
      <c r="C117" s="5" t="s">
        <v>40</v>
      </c>
      <c r="D117" s="5">
        <v>18</v>
      </c>
      <c r="E117" s="5">
        <v>14</v>
      </c>
      <c r="F117" s="5">
        <v>7</v>
      </c>
      <c r="G117" s="5">
        <v>92.9</v>
      </c>
      <c r="H117" s="9">
        <f>G117/189</f>
        <v>0.49153439153439155</v>
      </c>
    </row>
    <row r="118" spans="1:8" ht="18.75" x14ac:dyDescent="0.3">
      <c r="A118" s="6">
        <v>117</v>
      </c>
      <c r="B118" s="10" t="s">
        <v>150</v>
      </c>
      <c r="C118" s="10" t="s">
        <v>103</v>
      </c>
      <c r="D118" s="10">
        <v>12</v>
      </c>
      <c r="E118" s="10">
        <v>17</v>
      </c>
      <c r="F118" s="10">
        <v>18</v>
      </c>
      <c r="G118" s="10">
        <f>F118*1.1+E118*2.1+D118*3.1</f>
        <v>92.7</v>
      </c>
      <c r="H118" s="9">
        <f>G118/189</f>
        <v>0.49047619047619051</v>
      </c>
    </row>
    <row r="119" spans="1:8" ht="18.75" x14ac:dyDescent="0.3">
      <c r="A119" s="6">
        <v>118</v>
      </c>
      <c r="B119" s="5" t="s">
        <v>56</v>
      </c>
      <c r="C119" s="5" t="s">
        <v>40</v>
      </c>
      <c r="D119" s="5">
        <v>15</v>
      </c>
      <c r="E119" s="5">
        <v>13</v>
      </c>
      <c r="F119" s="5">
        <v>17</v>
      </c>
      <c r="G119" s="5">
        <v>92.5</v>
      </c>
      <c r="H119" s="9">
        <f>G119/189</f>
        <v>0.48941798941798942</v>
      </c>
    </row>
    <row r="120" spans="1:8" ht="18.75" x14ac:dyDescent="0.3">
      <c r="A120" s="6">
        <v>119</v>
      </c>
      <c r="B120" s="5" t="s">
        <v>57</v>
      </c>
      <c r="C120" s="5" t="s">
        <v>40</v>
      </c>
      <c r="D120" s="5">
        <v>17</v>
      </c>
      <c r="E120" s="5">
        <v>11</v>
      </c>
      <c r="F120" s="5">
        <v>15</v>
      </c>
      <c r="G120" s="5">
        <v>92.300000000000011</v>
      </c>
      <c r="H120" s="9">
        <f>G120/189</f>
        <v>0.48835978835978844</v>
      </c>
    </row>
    <row r="121" spans="1:8" ht="18.75" x14ac:dyDescent="0.3">
      <c r="A121" s="6">
        <v>120</v>
      </c>
      <c r="B121" s="5" t="s">
        <v>97</v>
      </c>
      <c r="C121" s="5" t="s">
        <v>67</v>
      </c>
      <c r="D121" s="5">
        <v>19</v>
      </c>
      <c r="E121" s="5">
        <v>8</v>
      </c>
      <c r="F121" s="5">
        <v>15</v>
      </c>
      <c r="G121" s="7">
        <f>(D121*3.1+E121*2.1+F121*1.1)</f>
        <v>92.2</v>
      </c>
      <c r="H121" s="9">
        <f>G121/189</f>
        <v>0.48783068783068784</v>
      </c>
    </row>
    <row r="122" spans="1:8" ht="18.75" x14ac:dyDescent="0.3">
      <c r="A122" s="6">
        <v>121</v>
      </c>
      <c r="B122" s="10" t="s">
        <v>151</v>
      </c>
      <c r="C122" s="10" t="s">
        <v>103</v>
      </c>
      <c r="D122" s="10">
        <v>15</v>
      </c>
      <c r="E122" s="10">
        <v>18</v>
      </c>
      <c r="F122" s="10">
        <v>7</v>
      </c>
      <c r="G122" s="10">
        <f>F122*1.1+E122*2.1+D122*3.1</f>
        <v>92</v>
      </c>
      <c r="H122" s="9">
        <f>G122/189</f>
        <v>0.48677248677248675</v>
      </c>
    </row>
    <row r="123" spans="1:8" ht="18.75" x14ac:dyDescent="0.3">
      <c r="A123" s="6">
        <v>122</v>
      </c>
      <c r="B123" s="10" t="s">
        <v>152</v>
      </c>
      <c r="C123" s="10" t="s">
        <v>103</v>
      </c>
      <c r="D123" s="10">
        <v>11</v>
      </c>
      <c r="E123" s="10">
        <v>19</v>
      </c>
      <c r="F123" s="10">
        <v>16</v>
      </c>
      <c r="G123" s="10">
        <f>F123*1.1+E123*2.1+D123*3.1</f>
        <v>91.6</v>
      </c>
      <c r="H123" s="9">
        <f>G123/189</f>
        <v>0.48465608465608462</v>
      </c>
    </row>
    <row r="124" spans="1:8" ht="18.75" x14ac:dyDescent="0.3">
      <c r="A124" s="6">
        <v>123</v>
      </c>
      <c r="B124" s="5" t="s">
        <v>58</v>
      </c>
      <c r="C124" s="5" t="s">
        <v>40</v>
      </c>
      <c r="D124" s="5">
        <v>13</v>
      </c>
      <c r="E124" s="5">
        <v>19</v>
      </c>
      <c r="F124" s="5">
        <v>10</v>
      </c>
      <c r="G124" s="5">
        <v>91.2</v>
      </c>
      <c r="H124" s="9">
        <f>G124/189</f>
        <v>0.48253968253968255</v>
      </c>
    </row>
    <row r="125" spans="1:8" ht="18.75" x14ac:dyDescent="0.3">
      <c r="A125" s="6">
        <v>124</v>
      </c>
      <c r="B125" s="5" t="s">
        <v>98</v>
      </c>
      <c r="C125" s="5" t="s">
        <v>67</v>
      </c>
      <c r="D125" s="5">
        <v>18</v>
      </c>
      <c r="E125" s="5">
        <v>9</v>
      </c>
      <c r="F125" s="5">
        <v>15</v>
      </c>
      <c r="G125" s="7">
        <f>(D125*3.1+E125*2.1+F125*1.1)</f>
        <v>91.2</v>
      </c>
      <c r="H125" s="9">
        <f>G125/189</f>
        <v>0.48253968253968255</v>
      </c>
    </row>
    <row r="126" spans="1:8" ht="18.75" x14ac:dyDescent="0.3">
      <c r="A126" s="6">
        <v>125</v>
      </c>
      <c r="B126" s="5" t="s">
        <v>59</v>
      </c>
      <c r="C126" s="5" t="s">
        <v>40</v>
      </c>
      <c r="D126" s="5">
        <v>11</v>
      </c>
      <c r="E126" s="5">
        <v>17</v>
      </c>
      <c r="F126" s="5">
        <v>19</v>
      </c>
      <c r="G126" s="5">
        <v>90.700000000000017</v>
      </c>
      <c r="H126" s="9">
        <f>G126/189</f>
        <v>0.47989417989417998</v>
      </c>
    </row>
    <row r="127" spans="1:8" ht="18.75" x14ac:dyDescent="0.3">
      <c r="A127" s="6">
        <v>126</v>
      </c>
      <c r="B127" s="10" t="s">
        <v>153</v>
      </c>
      <c r="C127" s="10" t="s">
        <v>103</v>
      </c>
      <c r="D127" s="10">
        <v>15</v>
      </c>
      <c r="E127" s="10">
        <v>12</v>
      </c>
      <c r="F127" s="10">
        <v>17</v>
      </c>
      <c r="G127" s="10">
        <f>F127*1.1+E127*2.1+D127*3.1</f>
        <v>90.4</v>
      </c>
      <c r="H127" s="9">
        <f>G127/189</f>
        <v>0.47830687830687835</v>
      </c>
    </row>
    <row r="128" spans="1:8" ht="18.75" x14ac:dyDescent="0.3">
      <c r="A128" s="6">
        <v>127</v>
      </c>
      <c r="B128" s="6" t="s">
        <v>12</v>
      </c>
      <c r="C128" s="6" t="s">
        <v>38</v>
      </c>
      <c r="D128" s="5">
        <v>17</v>
      </c>
      <c r="E128" s="7">
        <v>13</v>
      </c>
      <c r="F128" s="5">
        <v>9</v>
      </c>
      <c r="G128" s="7">
        <f>(D128*3.1+E128*2.1+F128*1.1)</f>
        <v>89.9</v>
      </c>
      <c r="H128" s="9">
        <f>G128/189</f>
        <v>0.47566137566137567</v>
      </c>
    </row>
    <row r="129" spans="1:8" ht="18.75" x14ac:dyDescent="0.3">
      <c r="A129" s="6">
        <v>128</v>
      </c>
      <c r="B129" s="10" t="s">
        <v>154</v>
      </c>
      <c r="C129" s="10" t="s">
        <v>103</v>
      </c>
      <c r="D129" s="10">
        <v>14</v>
      </c>
      <c r="E129" s="10">
        <v>12</v>
      </c>
      <c r="F129" s="10">
        <v>19</v>
      </c>
      <c r="G129" s="10">
        <f>F129*1.1+E129*2.1+D129*3.1</f>
        <v>89.5</v>
      </c>
      <c r="H129" s="9">
        <f>G129/189</f>
        <v>0.47354497354497355</v>
      </c>
    </row>
    <row r="130" spans="1:8" ht="18.75" x14ac:dyDescent="0.3">
      <c r="A130" s="6">
        <v>129</v>
      </c>
      <c r="B130" s="5" t="s">
        <v>28</v>
      </c>
      <c r="C130" s="6" t="s">
        <v>38</v>
      </c>
      <c r="D130" s="5">
        <v>15</v>
      </c>
      <c r="E130" s="7">
        <v>14</v>
      </c>
      <c r="F130" s="5">
        <v>12</v>
      </c>
      <c r="G130" s="7">
        <f>(D130*3.1+E130*2.1+F130*1.1)</f>
        <v>89.100000000000009</v>
      </c>
      <c r="H130" s="9">
        <f>G130/189</f>
        <v>0.47142857142857147</v>
      </c>
    </row>
    <row r="131" spans="1:8" ht="18.75" x14ac:dyDescent="0.3">
      <c r="A131" s="6">
        <v>130</v>
      </c>
      <c r="B131" s="10" t="s">
        <v>155</v>
      </c>
      <c r="C131" s="10" t="s">
        <v>103</v>
      </c>
      <c r="D131" s="10">
        <v>18</v>
      </c>
      <c r="E131" s="10">
        <v>10</v>
      </c>
      <c r="F131" s="10">
        <v>11</v>
      </c>
      <c r="G131" s="10">
        <f>F131*1.1+E131*2.1+D131*3.1</f>
        <v>88.9</v>
      </c>
      <c r="H131" s="9">
        <f>G131/189</f>
        <v>0.47037037037037038</v>
      </c>
    </row>
    <row r="132" spans="1:8" ht="18.75" x14ac:dyDescent="0.3">
      <c r="A132" s="6">
        <v>131</v>
      </c>
      <c r="B132" s="10" t="s">
        <v>156</v>
      </c>
      <c r="C132" s="10" t="s">
        <v>103</v>
      </c>
      <c r="D132" s="10">
        <v>20</v>
      </c>
      <c r="E132" s="10">
        <v>6</v>
      </c>
      <c r="F132" s="10">
        <v>13</v>
      </c>
      <c r="G132" s="10">
        <f>F132*1.1+E132*2.1+D132*3.1</f>
        <v>88.9</v>
      </c>
      <c r="H132" s="9">
        <f>G132/189</f>
        <v>0.47037037037037038</v>
      </c>
    </row>
    <row r="133" spans="1:8" ht="18.75" x14ac:dyDescent="0.3">
      <c r="A133" s="6">
        <v>132</v>
      </c>
      <c r="B133" s="5" t="s">
        <v>99</v>
      </c>
      <c r="C133" s="5" t="s">
        <v>67</v>
      </c>
      <c r="D133" s="5">
        <v>18</v>
      </c>
      <c r="E133" s="5">
        <v>11</v>
      </c>
      <c r="F133" s="5">
        <v>9</v>
      </c>
      <c r="G133" s="7">
        <f>(D133*3.1+E133*2.1+F133*1.1)</f>
        <v>88.800000000000011</v>
      </c>
      <c r="H133" s="9">
        <f>G133/189</f>
        <v>0.46984126984126989</v>
      </c>
    </row>
    <row r="134" spans="1:8" ht="18.75" x14ac:dyDescent="0.3">
      <c r="A134" s="6">
        <v>133</v>
      </c>
      <c r="B134" s="5" t="s">
        <v>26</v>
      </c>
      <c r="C134" s="6" t="s">
        <v>38</v>
      </c>
      <c r="D134" s="5">
        <v>18</v>
      </c>
      <c r="E134" s="7">
        <v>12</v>
      </c>
      <c r="F134" s="5">
        <v>7</v>
      </c>
      <c r="G134" s="7">
        <f>(D134*3.1+E134*2.1+F134*1.1)</f>
        <v>88.7</v>
      </c>
      <c r="H134" s="9">
        <f>G134/189</f>
        <v>0.46931216931216935</v>
      </c>
    </row>
    <row r="135" spans="1:8" ht="18.75" x14ac:dyDescent="0.3">
      <c r="A135" s="6">
        <v>134</v>
      </c>
      <c r="B135" s="10" t="s">
        <v>157</v>
      </c>
      <c r="C135" s="10" t="s">
        <v>103</v>
      </c>
      <c r="D135" s="10">
        <v>19</v>
      </c>
      <c r="E135" s="10">
        <v>10</v>
      </c>
      <c r="F135" s="10">
        <v>8</v>
      </c>
      <c r="G135" s="10">
        <f>F135*1.1+E135*2.1+D135*3.1</f>
        <v>88.7</v>
      </c>
      <c r="H135" s="9">
        <f>G135/189</f>
        <v>0.46931216931216935</v>
      </c>
    </row>
    <row r="136" spans="1:8" ht="18.75" x14ac:dyDescent="0.3">
      <c r="A136" s="6">
        <v>135</v>
      </c>
      <c r="B136" s="10" t="s">
        <v>158</v>
      </c>
      <c r="C136" s="10" t="s">
        <v>103</v>
      </c>
      <c r="D136" s="10">
        <v>17</v>
      </c>
      <c r="E136" s="10">
        <v>9</v>
      </c>
      <c r="F136" s="10">
        <v>15</v>
      </c>
      <c r="G136" s="10">
        <f>F136*1.1+E136*2.1+D136*3.1</f>
        <v>88.100000000000009</v>
      </c>
      <c r="H136" s="9">
        <f>G136/189</f>
        <v>0.46613756613756618</v>
      </c>
    </row>
    <row r="137" spans="1:8" ht="18.75" x14ac:dyDescent="0.3">
      <c r="A137" s="6">
        <v>136</v>
      </c>
      <c r="B137" s="5" t="s">
        <v>60</v>
      </c>
      <c r="C137" s="5" t="s">
        <v>40</v>
      </c>
      <c r="D137" s="5">
        <v>15</v>
      </c>
      <c r="E137" s="5">
        <v>13</v>
      </c>
      <c r="F137" s="5">
        <v>12</v>
      </c>
      <c r="G137" s="5">
        <v>87</v>
      </c>
      <c r="H137" s="9">
        <f>G137/189</f>
        <v>0.46031746031746029</v>
      </c>
    </row>
    <row r="138" spans="1:8" ht="18.75" x14ac:dyDescent="0.3">
      <c r="A138" s="6">
        <v>137</v>
      </c>
      <c r="B138" s="10" t="s">
        <v>159</v>
      </c>
      <c r="C138" s="10" t="s">
        <v>103</v>
      </c>
      <c r="D138" s="10">
        <v>18</v>
      </c>
      <c r="E138" s="10">
        <v>10</v>
      </c>
      <c r="F138" s="10">
        <v>9</v>
      </c>
      <c r="G138" s="10">
        <f>F138*1.1+E138*2.1+D138*3.1</f>
        <v>86.7</v>
      </c>
      <c r="H138" s="9">
        <f>G138/189</f>
        <v>0.45873015873015877</v>
      </c>
    </row>
    <row r="139" spans="1:8" ht="18.75" x14ac:dyDescent="0.3">
      <c r="A139" s="6">
        <v>138</v>
      </c>
      <c r="B139" s="5" t="s">
        <v>24</v>
      </c>
      <c r="C139" s="6" t="s">
        <v>38</v>
      </c>
      <c r="D139" s="5">
        <v>14</v>
      </c>
      <c r="E139" s="7">
        <v>16</v>
      </c>
      <c r="F139" s="5">
        <v>8</v>
      </c>
      <c r="G139" s="7">
        <f>(D139*3.1+E139*2.1+F139*1.1)</f>
        <v>85.8</v>
      </c>
      <c r="H139" s="9">
        <f>G139/189</f>
        <v>0.45396825396825397</v>
      </c>
    </row>
    <row r="140" spans="1:8" ht="18.75" x14ac:dyDescent="0.3">
      <c r="A140" s="6">
        <v>139</v>
      </c>
      <c r="B140" s="5" t="s">
        <v>61</v>
      </c>
      <c r="C140" s="5" t="s">
        <v>40</v>
      </c>
      <c r="D140" s="5">
        <v>14</v>
      </c>
      <c r="E140" s="5">
        <v>14</v>
      </c>
      <c r="F140" s="5">
        <v>11</v>
      </c>
      <c r="G140" s="5">
        <v>84.9</v>
      </c>
      <c r="H140" s="9">
        <f>G140/189</f>
        <v>0.44920634920634922</v>
      </c>
    </row>
    <row r="141" spans="1:8" ht="18.75" x14ac:dyDescent="0.3">
      <c r="A141" s="6">
        <v>140</v>
      </c>
      <c r="B141" s="5" t="s">
        <v>33</v>
      </c>
      <c r="C141" s="6" t="s">
        <v>38</v>
      </c>
      <c r="D141" s="5">
        <v>13</v>
      </c>
      <c r="E141" s="7">
        <v>17</v>
      </c>
      <c r="F141" s="5">
        <v>8</v>
      </c>
      <c r="G141" s="7">
        <f>(D141*3.1+E141*2.1+F141*1.1)</f>
        <v>84.8</v>
      </c>
      <c r="H141" s="9">
        <f>G141/189</f>
        <v>0.44867724867724867</v>
      </c>
    </row>
    <row r="142" spans="1:8" ht="18.75" x14ac:dyDescent="0.3">
      <c r="A142" s="6">
        <v>141</v>
      </c>
      <c r="B142" s="10" t="s">
        <v>160</v>
      </c>
      <c r="C142" s="10" t="s">
        <v>103</v>
      </c>
      <c r="D142" s="10">
        <v>20</v>
      </c>
      <c r="E142" s="10">
        <v>7</v>
      </c>
      <c r="F142" s="10">
        <v>7</v>
      </c>
      <c r="G142" s="10">
        <f>F142*1.1+E142*2.1+D142*3.1</f>
        <v>84.4</v>
      </c>
      <c r="H142" s="9">
        <f>G142/189</f>
        <v>0.4465608465608466</v>
      </c>
    </row>
    <row r="143" spans="1:8" ht="18.75" x14ac:dyDescent="0.3">
      <c r="A143" s="6">
        <v>142</v>
      </c>
      <c r="B143" s="6" t="s">
        <v>4</v>
      </c>
      <c r="C143" s="6" t="s">
        <v>38</v>
      </c>
      <c r="D143" s="5">
        <v>16</v>
      </c>
      <c r="E143" s="7">
        <v>11</v>
      </c>
      <c r="F143" s="5">
        <v>10</v>
      </c>
      <c r="G143" s="7">
        <f>(D143*3.1+E143*2.1+F143*1.1)</f>
        <v>83.7</v>
      </c>
      <c r="H143" s="9">
        <f>G143/189</f>
        <v>0.44285714285714289</v>
      </c>
    </row>
    <row r="144" spans="1:8" ht="18.75" x14ac:dyDescent="0.3">
      <c r="A144" s="6">
        <v>143</v>
      </c>
      <c r="B144" s="5" t="s">
        <v>100</v>
      </c>
      <c r="C144" s="5" t="s">
        <v>67</v>
      </c>
      <c r="D144" s="5">
        <v>14</v>
      </c>
      <c r="E144" s="5">
        <v>10</v>
      </c>
      <c r="F144" s="5">
        <v>16</v>
      </c>
      <c r="G144" s="7">
        <f>(D144*3.1+E144*2.1+F144*1.1)</f>
        <v>82</v>
      </c>
      <c r="H144" s="9">
        <f>G144/189</f>
        <v>0.43386243386243384</v>
      </c>
    </row>
    <row r="145" spans="1:8" ht="18.75" x14ac:dyDescent="0.3">
      <c r="A145" s="6">
        <v>144</v>
      </c>
      <c r="B145" s="10" t="s">
        <v>161</v>
      </c>
      <c r="C145" s="10" t="s">
        <v>103</v>
      </c>
      <c r="D145" s="10">
        <v>13</v>
      </c>
      <c r="E145" s="10">
        <v>12</v>
      </c>
      <c r="F145" s="10">
        <v>15</v>
      </c>
      <c r="G145" s="10">
        <f>F145*1.1+E145*2.1+D145*3.1</f>
        <v>82</v>
      </c>
      <c r="H145" s="9">
        <f>G145/189</f>
        <v>0.43386243386243384</v>
      </c>
    </row>
    <row r="146" spans="1:8" ht="18.75" x14ac:dyDescent="0.3">
      <c r="A146" s="6">
        <v>145</v>
      </c>
      <c r="B146" s="10" t="s">
        <v>162</v>
      </c>
      <c r="C146" s="10" t="s">
        <v>103</v>
      </c>
      <c r="D146" s="10">
        <v>11</v>
      </c>
      <c r="E146" s="10">
        <v>14</v>
      </c>
      <c r="F146" s="10">
        <v>15</v>
      </c>
      <c r="G146" s="10">
        <f>F146*1.1+E146*2.1+D146*3.1</f>
        <v>80</v>
      </c>
      <c r="H146" s="9">
        <f>G146/189</f>
        <v>0.42328042328042326</v>
      </c>
    </row>
    <row r="147" spans="1:8" ht="18.75" x14ac:dyDescent="0.3">
      <c r="A147" s="6">
        <v>146</v>
      </c>
      <c r="B147" s="5" t="s">
        <v>62</v>
      </c>
      <c r="C147" s="5" t="s">
        <v>40</v>
      </c>
      <c r="D147" s="5">
        <v>14</v>
      </c>
      <c r="E147" s="5">
        <v>12</v>
      </c>
      <c r="F147" s="5">
        <v>10</v>
      </c>
      <c r="G147" s="5">
        <v>79.599999999999994</v>
      </c>
      <c r="H147" s="9">
        <f>G147/189</f>
        <v>0.42116402116402113</v>
      </c>
    </row>
    <row r="148" spans="1:8" ht="18.75" x14ac:dyDescent="0.3">
      <c r="A148" s="6">
        <v>147</v>
      </c>
      <c r="B148" s="10" t="s">
        <v>163</v>
      </c>
      <c r="C148" s="10" t="s">
        <v>103</v>
      </c>
      <c r="D148" s="10">
        <v>15</v>
      </c>
      <c r="E148" s="10">
        <v>12</v>
      </c>
      <c r="F148" s="10">
        <v>7</v>
      </c>
      <c r="G148" s="10">
        <f>F148*1.1+E148*2.1+D148*3.1</f>
        <v>79.400000000000006</v>
      </c>
      <c r="H148" s="9">
        <f>G148/189</f>
        <v>0.42010582010582015</v>
      </c>
    </row>
    <row r="149" spans="1:8" ht="18.75" x14ac:dyDescent="0.3">
      <c r="A149" s="6">
        <v>148</v>
      </c>
      <c r="B149" s="10" t="s">
        <v>164</v>
      </c>
      <c r="C149" s="10" t="s">
        <v>103</v>
      </c>
      <c r="D149" s="10">
        <v>15</v>
      </c>
      <c r="E149" s="10">
        <v>11</v>
      </c>
      <c r="F149" s="10">
        <v>8</v>
      </c>
      <c r="G149" s="10">
        <f>F149*1.1+E149*2.1+D149*3.1</f>
        <v>78.400000000000006</v>
      </c>
      <c r="H149" s="9">
        <f>G149/189</f>
        <v>0.41481481481481486</v>
      </c>
    </row>
    <row r="150" spans="1:8" ht="18.75" x14ac:dyDescent="0.3">
      <c r="A150" s="6">
        <v>149</v>
      </c>
      <c r="B150" s="5" t="s">
        <v>63</v>
      </c>
      <c r="C150" s="5" t="s">
        <v>40</v>
      </c>
      <c r="D150" s="5">
        <v>12</v>
      </c>
      <c r="E150" s="5">
        <v>13</v>
      </c>
      <c r="F150" s="5">
        <v>12</v>
      </c>
      <c r="G150" s="5">
        <v>77.7</v>
      </c>
      <c r="H150" s="9">
        <f>G150/189</f>
        <v>0.41111111111111115</v>
      </c>
    </row>
    <row r="151" spans="1:8" ht="18.75" x14ac:dyDescent="0.3">
      <c r="A151" s="6">
        <v>150</v>
      </c>
      <c r="B151" s="10" t="s">
        <v>169</v>
      </c>
      <c r="C151" s="10" t="s">
        <v>103</v>
      </c>
      <c r="D151" s="10">
        <v>15</v>
      </c>
      <c r="E151" s="10">
        <v>9</v>
      </c>
      <c r="F151" s="10">
        <v>10</v>
      </c>
      <c r="G151" s="10">
        <f>F151*1.1+E151*2.1+D151*3.1</f>
        <v>76.400000000000006</v>
      </c>
      <c r="H151" s="9">
        <f>G151/189</f>
        <v>0.40423280423280428</v>
      </c>
    </row>
    <row r="152" spans="1:8" ht="18.75" x14ac:dyDescent="0.3">
      <c r="A152" s="6">
        <v>151</v>
      </c>
      <c r="B152" s="10" t="s">
        <v>165</v>
      </c>
      <c r="C152" s="10" t="s">
        <v>103</v>
      </c>
      <c r="D152" s="10">
        <v>17</v>
      </c>
      <c r="E152" s="10">
        <v>7</v>
      </c>
      <c r="F152" s="10">
        <v>8</v>
      </c>
      <c r="G152" s="10">
        <f>F152*1.1+E152*2.1+D152*3.1</f>
        <v>76.2</v>
      </c>
      <c r="H152" s="9">
        <f>G152/189</f>
        <v>0.40317460317460319</v>
      </c>
    </row>
    <row r="153" spans="1:8" ht="18.75" x14ac:dyDescent="0.3">
      <c r="A153" s="6">
        <v>152</v>
      </c>
      <c r="B153" s="5" t="s">
        <v>34</v>
      </c>
      <c r="C153" s="6" t="s">
        <v>38</v>
      </c>
      <c r="D153" s="5">
        <v>13</v>
      </c>
      <c r="E153" s="7">
        <v>12</v>
      </c>
      <c r="F153" s="5">
        <v>9</v>
      </c>
      <c r="G153" s="7">
        <f>(D153*3.1+E153*2.1+F153*1.1)</f>
        <v>75.400000000000006</v>
      </c>
      <c r="H153" s="9">
        <f>G153/189</f>
        <v>0.39894179894179899</v>
      </c>
    </row>
    <row r="154" spans="1:8" ht="18.75" x14ac:dyDescent="0.3">
      <c r="A154" s="6">
        <v>153</v>
      </c>
      <c r="B154" s="5" t="s">
        <v>27</v>
      </c>
      <c r="C154" s="6" t="s">
        <v>38</v>
      </c>
      <c r="D154" s="5">
        <v>17</v>
      </c>
      <c r="E154" s="7">
        <v>9</v>
      </c>
      <c r="F154" s="5">
        <v>3</v>
      </c>
      <c r="G154" s="7">
        <f>(D154*3.1+E154*2.1+F154*1.1)</f>
        <v>74.900000000000006</v>
      </c>
      <c r="H154" s="9">
        <f>G154/189</f>
        <v>0.39629629629629631</v>
      </c>
    </row>
    <row r="155" spans="1:8" ht="18.75" x14ac:dyDescent="0.3">
      <c r="A155" s="6">
        <v>154</v>
      </c>
      <c r="B155" s="10" t="s">
        <v>171</v>
      </c>
      <c r="C155" s="10" t="s">
        <v>103</v>
      </c>
      <c r="D155" s="10">
        <v>14</v>
      </c>
      <c r="E155" s="10">
        <v>10</v>
      </c>
      <c r="F155" s="10">
        <v>8</v>
      </c>
      <c r="G155" s="10">
        <f>F155*1.1+E155*2.1+D155*3.1</f>
        <v>73.2</v>
      </c>
      <c r="H155" s="9">
        <f>G155/189</f>
        <v>0.38730158730158731</v>
      </c>
    </row>
    <row r="156" spans="1:8" ht="18.75" x14ac:dyDescent="0.3">
      <c r="A156" s="6">
        <v>155</v>
      </c>
      <c r="B156" s="10" t="s">
        <v>166</v>
      </c>
      <c r="C156" s="10" t="s">
        <v>103</v>
      </c>
      <c r="D156" s="10">
        <v>16</v>
      </c>
      <c r="E156" s="10">
        <v>9</v>
      </c>
      <c r="F156" s="10">
        <v>4</v>
      </c>
      <c r="G156" s="10">
        <f>F156*1.1+E156*2.1+D156*3.1</f>
        <v>72.900000000000006</v>
      </c>
      <c r="H156" s="9">
        <f>G156/189</f>
        <v>0.38571428571428573</v>
      </c>
    </row>
    <row r="157" spans="1:8" ht="18.75" x14ac:dyDescent="0.3">
      <c r="A157" s="6">
        <v>156</v>
      </c>
      <c r="B157" s="5" t="s">
        <v>29</v>
      </c>
      <c r="C157" s="6" t="s">
        <v>38</v>
      </c>
      <c r="D157" s="5">
        <v>10</v>
      </c>
      <c r="E157" s="7">
        <v>13</v>
      </c>
      <c r="F157" s="5">
        <v>12</v>
      </c>
      <c r="G157" s="7">
        <f>(D157*3.1+E157*2.1+F157*1.1)</f>
        <v>71.5</v>
      </c>
      <c r="H157" s="9">
        <f>G157/189</f>
        <v>0.37830687830687831</v>
      </c>
    </row>
    <row r="158" spans="1:8" ht="18.75" x14ac:dyDescent="0.3">
      <c r="A158" s="6">
        <v>157</v>
      </c>
      <c r="B158" s="5" t="s">
        <v>64</v>
      </c>
      <c r="C158" s="5" t="s">
        <v>40</v>
      </c>
      <c r="D158" s="5">
        <v>12</v>
      </c>
      <c r="E158" s="5">
        <v>12</v>
      </c>
      <c r="F158" s="5">
        <v>8</v>
      </c>
      <c r="G158" s="5">
        <v>71.2</v>
      </c>
      <c r="H158" s="9">
        <f>G158/189</f>
        <v>0.37671957671957673</v>
      </c>
    </row>
    <row r="159" spans="1:8" ht="18.75" x14ac:dyDescent="0.3">
      <c r="A159" s="6">
        <v>158</v>
      </c>
      <c r="B159" s="6" t="s">
        <v>14</v>
      </c>
      <c r="C159" s="6" t="s">
        <v>38</v>
      </c>
      <c r="D159" s="5">
        <v>12</v>
      </c>
      <c r="E159" s="7">
        <v>12</v>
      </c>
      <c r="F159" s="5">
        <v>7</v>
      </c>
      <c r="G159" s="7">
        <f>(D159*3.1+E159*2.1+F159*1.1)</f>
        <v>70.100000000000009</v>
      </c>
      <c r="H159" s="9">
        <f>G159/189</f>
        <v>0.37089947089947095</v>
      </c>
    </row>
    <row r="160" spans="1:8" ht="18.75" x14ac:dyDescent="0.3">
      <c r="A160" s="6">
        <v>159</v>
      </c>
      <c r="B160" s="10" t="s">
        <v>167</v>
      </c>
      <c r="C160" s="10" t="s">
        <v>103</v>
      </c>
      <c r="D160" s="10">
        <v>13</v>
      </c>
      <c r="E160" s="10">
        <v>8</v>
      </c>
      <c r="F160" s="10">
        <v>10</v>
      </c>
      <c r="G160" s="10">
        <f>F160*1.1+E160*2.1+D160*3.1</f>
        <v>68.100000000000009</v>
      </c>
      <c r="H160" s="9">
        <f>G160/189</f>
        <v>0.36031746031746037</v>
      </c>
    </row>
    <row r="161" spans="1:8" ht="18.75" x14ac:dyDescent="0.3">
      <c r="A161" s="6">
        <v>160</v>
      </c>
      <c r="B161" s="10" t="s">
        <v>168</v>
      </c>
      <c r="C161" s="10" t="s">
        <v>103</v>
      </c>
      <c r="D161" s="10">
        <v>15</v>
      </c>
      <c r="E161" s="10">
        <v>6</v>
      </c>
      <c r="F161" s="10">
        <v>6</v>
      </c>
      <c r="G161" s="10">
        <f>F161*1.1+E161*2.1+D161*3.1</f>
        <v>65.7</v>
      </c>
      <c r="H161" s="9">
        <f>G161/189</f>
        <v>0.34761904761904766</v>
      </c>
    </row>
    <row r="162" spans="1:8" ht="18.75" x14ac:dyDescent="0.3">
      <c r="A162" s="6">
        <v>161</v>
      </c>
      <c r="B162" s="6" t="s">
        <v>13</v>
      </c>
      <c r="C162" s="6" t="s">
        <v>38</v>
      </c>
      <c r="D162" s="5">
        <v>12</v>
      </c>
      <c r="E162" s="7">
        <v>8</v>
      </c>
      <c r="F162" s="5">
        <v>8</v>
      </c>
      <c r="G162" s="7">
        <f>(D162*3.1+E162*2.1+F162*1.1)</f>
        <v>62.8</v>
      </c>
      <c r="H162" s="9">
        <f>G162/189</f>
        <v>0.33227513227513228</v>
      </c>
    </row>
    <row r="163" spans="1:8" ht="18.75" x14ac:dyDescent="0.3">
      <c r="A163" s="6">
        <v>162</v>
      </c>
      <c r="B163" s="5" t="s">
        <v>65</v>
      </c>
      <c r="C163" s="5" t="s">
        <v>40</v>
      </c>
      <c r="D163" s="5">
        <v>9</v>
      </c>
      <c r="E163" s="5">
        <v>9</v>
      </c>
      <c r="F163" s="5">
        <v>9</v>
      </c>
      <c r="G163" s="5">
        <v>56.7</v>
      </c>
      <c r="H163" s="9">
        <f>G163/189</f>
        <v>0.3</v>
      </c>
    </row>
    <row r="164" spans="1:8" ht="18.75" x14ac:dyDescent="0.3">
      <c r="A164" s="6">
        <v>163</v>
      </c>
      <c r="B164" s="10" t="s">
        <v>170</v>
      </c>
      <c r="C164" s="10" t="s">
        <v>103</v>
      </c>
      <c r="D164" s="10">
        <v>5</v>
      </c>
      <c r="E164" s="10">
        <v>14</v>
      </c>
      <c r="F164" s="10">
        <v>7</v>
      </c>
      <c r="G164" s="10">
        <f>F164*1.1+E164*2.1+D164*3.1</f>
        <v>52.6</v>
      </c>
      <c r="H164" s="9">
        <f>G164/189</f>
        <v>0.27830687830687834</v>
      </c>
    </row>
    <row r="165" spans="1:8" ht="18.75" x14ac:dyDescent="0.3">
      <c r="A165" s="6">
        <v>167</v>
      </c>
      <c r="B165" s="5" t="s">
        <v>101</v>
      </c>
      <c r="C165" s="5" t="s">
        <v>67</v>
      </c>
      <c r="D165" s="5"/>
      <c r="E165" s="5"/>
      <c r="F165" s="5"/>
      <c r="G165" s="7">
        <f>(D165*3.1+E165*2.1+F165*1.1)</f>
        <v>0</v>
      </c>
      <c r="H165" s="9">
        <f>G165/189</f>
        <v>0</v>
      </c>
    </row>
  </sheetData>
  <sortState xmlns:xlrd2="http://schemas.microsoft.com/office/spreadsheetml/2017/richdata2" ref="B3:H165">
    <sortCondition descending="1" ref="H2:H165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2025-10-14T06:43:05Z</dcterms:created>
  <dcterms:modified xsi:type="dcterms:W3CDTF">2026-03-10T04:53:06Z</dcterms:modified>
</cp:coreProperties>
</file>