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75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<sst xmlns="http://schemas.openxmlformats.org/spreadsheetml/2006/main" count="46" uniqueCount="46">
  <si>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№</t>
  </si>
  <si>
    <t>Ism familiya 9-A</t>
  </si>
  <si>
    <t xml:space="preserve">Matematika </t>
  </si>
  <si>
    <t>INGLIZ TILI</t>
  </si>
  <si>
    <t>TARIX</t>
  </si>
  <si>
    <t>BALL</t>
  </si>
  <si>
    <t>Umumiy foiz</t>
  </si>
  <si>
    <t>Saidov Samadjon</t>
  </si>
  <si>
    <t>Nasullayev Aziz</t>
  </si>
  <si>
    <t>Tilavova Farangiz</t>
  </si>
  <si>
    <t>Ismoilova Hilola</t>
  </si>
  <si>
    <t>Sanoqulova Diyora</t>
  </si>
  <si>
    <t>Ibodullayev Dadaxon</t>
  </si>
  <si>
    <t>Habibov Bilolxo'ja</t>
  </si>
  <si>
    <t>Shomurodov Bahrom</t>
  </si>
  <si>
    <t>Rizoyev Elshod</t>
  </si>
  <si>
    <t>Nusratov Islombek</t>
  </si>
  <si>
    <t>Nutfullayeva Sabina</t>
  </si>
  <si>
    <t>Baxodirov Kamronbek</t>
  </si>
  <si>
    <t>Obidov Sobir</t>
  </si>
  <si>
    <t>Shavkatov Shavkat</t>
  </si>
  <si>
    <t>Amrilloyev Amirbek</t>
  </si>
  <si>
    <t>Ergashov Nazarbek</t>
  </si>
  <si>
    <t>Yandashov Timur</t>
  </si>
  <si>
    <t>G'oyibov Behzod</t>
  </si>
  <si>
    <t>Burxonov Narimon</t>
  </si>
  <si>
    <t>Halimov Ozodbek</t>
  </si>
  <si>
    <t>Mirobidov Samir</t>
  </si>
  <si>
    <t>Erkinov Asadbek</t>
  </si>
  <si>
    <t>Xusainov Shaxrizod</t>
  </si>
  <si>
    <t>Shodiyev Olmos</t>
  </si>
  <si>
    <t>Ro'ziboyev Bobur</t>
  </si>
  <si>
    <t>Axatova Parizod</t>
  </si>
  <si>
    <t>Mirjonov Ahmadjon</t>
  </si>
  <si>
    <t>Xo'jayev Bunyod</t>
  </si>
  <si>
    <t>Imomov Sherbek</t>
  </si>
  <si>
    <t>Shukurov Anvar</t>
  </si>
  <si>
    <t>Shukrullayev Shohijahon</t>
  </si>
  <si>
    <t>Xolmatov Zufar</t>
  </si>
  <si>
    <t>Rajabov Ozodbek</t>
  </si>
  <si>
    <t>Shaxriyorov Sharofbek</t>
  </si>
  <si>
    <t>Raupov Mirvohid</t>
  </si>
  <si>
    <t>Aminboyev Amirxon</t>
  </si>
  <si>
    <t>Yoqubjonova Dilnura</t>
  </si>
  <si>
    <t>Zamonov Shohruh</t>
  </si>
  <si>
    <t>Rahimov Adham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</si>
</sst>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\ ##0.00_ ;_ * \-#\ ##0.00_ ;_ * &quot;-&quot;??_ ;_ @_ "/>
    <numFmt numFmtId="177" formatCode="_(&quot;$&quot;* #\ ##0.00_);_(&quot;$&quot;* \(#\ ##0.00\);_(&quot;$&quot;* &quot;-&quot;??_);_(@_)"/>
    <numFmt numFmtId="178" formatCode="_ * #\ ##0_ ;_ * \-#\ ##0_ ;_ * &quot;-&quot;_ ;_ @_ "/>
    <numFmt numFmtId="179" formatCode="_(&quot;$&quot;* #\ ##0_);_(&quot;$&quot;* \(#\ ##0\);_(&quot;$&quot;* &quot;-&quot;_);_(@_)"/>
    <numFmt numFmtId="180" formatCode="0.0%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204"/>
      <scheme val="minor"/>
    </font>
    <font>
      <b/>
      <sz val="20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3" applyNumberFormat="1" applyFont="1" applyFill="1" applyBorder="1" applyAlignment="1">
      <alignment horizontal="center" vertical="center"/>
    </xf>
    <xf numFmtId="180" fontId="2" fillId="3" borderId="1" xfId="3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3" applyNumberFormat="1" applyFont="1" applyFill="1" applyBorder="1" applyAlignment="1">
      <alignment horizontal="center" vertical="center"/>
    </xf>
    <xf numFmtId="180" fontId="2" fillId="4" borderId="1" xfId="3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3" applyNumberFormat="1" applyFont="1" applyFill="1" applyBorder="1" applyAlignment="1">
      <alignment horizontal="center" vertical="center"/>
    </xf>
    <xf numFmtId="180" fontId="2" fillId="5" borderId="1" xfId="3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3" applyNumberFormat="1" applyFont="1" applyFill="1" applyBorder="1" applyAlignment="1">
      <alignment horizontal="center" vertical="center"/>
    </xf>
    <xf numFmtId="180" fontId="2" fillId="6" borderId="1" xfId="3" applyNumberFormat="1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zoomScale="44" zoomScaleNormal="44" workbookViewId="0">
      <selection activeCell="D8" sqref="D8"/>
    </sheetView>
  </sheetViews>
  <sheetFormatPr defaultColWidth="9.13333333333333" defaultRowHeight="26.25" outlineLevelCol="6"/>
  <cols>
    <col min="1" max="1" width="6" style="2" customWidth="1"/>
    <col min="2" max="2" width="43.8857142857143" style="2" customWidth="1"/>
    <col min="3" max="3" width="22.8857142857143" style="2" customWidth="1"/>
    <col min="4" max="4" width="17.3809523809524" style="3" customWidth="1"/>
    <col min="5" max="5" width="11.447619047619" style="2" customWidth="1"/>
    <col min="6" max="6" width="11.6666666666667" style="2" customWidth="1"/>
    <col min="7" max="7" width="22.8857142857143" style="2" customWidth="1"/>
    <col min="8" max="8" width="8.22857142857143" style="2" customWidth="1"/>
    <col min="9" max="16384" width="9.13333333333333" style="4"/>
  </cols>
  <sheetData>
    <row r="1" spans="1:7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pans="1:7">
      <c r="A2" s="7">
        <v>1</v>
      </c>
      <c r="B2" s="7" t="s">
        <v>7</v>
      </c>
      <c r="C2" s="7">
        <v>29</v>
      </c>
      <c r="D2" s="8">
        <v>29</v>
      </c>
      <c r="E2" s="7">
        <v>17</v>
      </c>
      <c r="F2" s="7">
        <f t="shared" ref="F2:F41" si="0">C2*3.1+D2*2.1+E2*1.1</f>
        <v>169.5</v>
      </c>
      <c r="G2" s="9">
        <f t="shared" ref="G2:G41" si="1">F2/189</f>
        <v>0.896825396825397</v>
      </c>
    </row>
    <row r="3" spans="1:7">
      <c r="A3" s="7">
        <v>2</v>
      </c>
      <c r="B3" s="7" t="s">
        <v>8</v>
      </c>
      <c r="C3" s="7">
        <v>25</v>
      </c>
      <c r="D3" s="8">
        <v>29</v>
      </c>
      <c r="E3" s="7">
        <v>24</v>
      </c>
      <c r="F3" s="7">
        <f t="shared" si="0"/>
        <v>164.8</v>
      </c>
      <c r="G3" s="9">
        <f t="shared" si="1"/>
        <v>0.871957671957672</v>
      </c>
    </row>
    <row r="4" spans="1:7">
      <c r="A4" s="7">
        <v>3</v>
      </c>
      <c r="B4" s="7" t="s">
        <v>9</v>
      </c>
      <c r="C4" s="7">
        <v>27</v>
      </c>
      <c r="D4" s="8">
        <v>27</v>
      </c>
      <c r="E4" s="7">
        <v>17</v>
      </c>
      <c r="F4" s="7">
        <f t="shared" si="0"/>
        <v>159.1</v>
      </c>
      <c r="G4" s="9">
        <f t="shared" si="1"/>
        <v>0.841798941798942</v>
      </c>
    </row>
    <row r="5" spans="1:7">
      <c r="A5" s="7">
        <v>4</v>
      </c>
      <c r="B5" s="7" t="s">
        <v>10</v>
      </c>
      <c r="C5" s="7">
        <v>26</v>
      </c>
      <c r="D5" s="8">
        <v>26</v>
      </c>
      <c r="E5" s="7">
        <v>21</v>
      </c>
      <c r="F5" s="7">
        <f t="shared" si="0"/>
        <v>158.3</v>
      </c>
      <c r="G5" s="9">
        <f t="shared" si="1"/>
        <v>0.837566137566138</v>
      </c>
    </row>
    <row r="6" spans="1:7">
      <c r="A6" s="7">
        <v>5</v>
      </c>
      <c r="B6" s="7" t="s">
        <v>11</v>
      </c>
      <c r="C6" s="7">
        <v>28</v>
      </c>
      <c r="D6" s="8">
        <v>28</v>
      </c>
      <c r="E6" s="7">
        <v>10</v>
      </c>
      <c r="F6" s="7">
        <f t="shared" si="0"/>
        <v>156.6</v>
      </c>
      <c r="G6" s="9">
        <f t="shared" si="1"/>
        <v>0.828571428571429</v>
      </c>
    </row>
    <row r="7" spans="1:7">
      <c r="A7" s="7">
        <v>6</v>
      </c>
      <c r="B7" s="7" t="s">
        <v>12</v>
      </c>
      <c r="C7" s="7">
        <v>28</v>
      </c>
      <c r="D7" s="8">
        <v>27</v>
      </c>
      <c r="E7" s="7">
        <v>9</v>
      </c>
      <c r="F7" s="7">
        <f t="shared" si="0"/>
        <v>153.4</v>
      </c>
      <c r="G7" s="9">
        <f t="shared" si="1"/>
        <v>0.811640211640212</v>
      </c>
    </row>
    <row r="8" spans="1:7">
      <c r="A8" s="10">
        <v>7</v>
      </c>
      <c r="B8" s="10" t="s">
        <v>13</v>
      </c>
      <c r="C8" s="10">
        <v>27</v>
      </c>
      <c r="D8" s="11">
        <v>22</v>
      </c>
      <c r="E8" s="10">
        <v>18</v>
      </c>
      <c r="F8" s="10">
        <f t="shared" si="0"/>
        <v>149.7</v>
      </c>
      <c r="G8" s="12">
        <f t="shared" si="1"/>
        <v>0.792063492063492</v>
      </c>
    </row>
    <row r="9" spans="1:7">
      <c r="A9" s="10">
        <v>8</v>
      </c>
      <c r="B9" s="10" t="s">
        <v>14</v>
      </c>
      <c r="C9" s="10">
        <v>25</v>
      </c>
      <c r="D9" s="11">
        <v>27</v>
      </c>
      <c r="E9" s="10">
        <v>14</v>
      </c>
      <c r="F9" s="10">
        <f t="shared" si="0"/>
        <v>149.6</v>
      </c>
      <c r="G9" s="12">
        <f t="shared" si="1"/>
        <v>0.791534391534392</v>
      </c>
    </row>
    <row r="10" spans="1:7">
      <c r="A10" s="10">
        <v>9</v>
      </c>
      <c r="B10" s="10" t="s">
        <v>15</v>
      </c>
      <c r="C10" s="10">
        <v>26</v>
      </c>
      <c r="D10" s="11">
        <v>26</v>
      </c>
      <c r="E10" s="10">
        <v>12</v>
      </c>
      <c r="F10" s="10">
        <f t="shared" si="0"/>
        <v>148.4</v>
      </c>
      <c r="G10" s="12">
        <f t="shared" si="1"/>
        <v>0.785185185185185</v>
      </c>
    </row>
    <row r="11" spans="1:7">
      <c r="A11" s="10">
        <v>10</v>
      </c>
      <c r="B11" s="10" t="s">
        <v>16</v>
      </c>
      <c r="C11" s="10">
        <v>26</v>
      </c>
      <c r="D11" s="11">
        <v>27</v>
      </c>
      <c r="E11" s="10">
        <v>6</v>
      </c>
      <c r="F11" s="10">
        <f t="shared" si="0"/>
        <v>143.9</v>
      </c>
      <c r="G11" s="12">
        <f t="shared" si="1"/>
        <v>0.761375661375661</v>
      </c>
    </row>
    <row r="12" spans="1:7">
      <c r="A12" s="10">
        <v>11</v>
      </c>
      <c r="B12" s="10" t="s">
        <v>17</v>
      </c>
      <c r="C12" s="10">
        <v>23</v>
      </c>
      <c r="D12" s="11">
        <v>25</v>
      </c>
      <c r="E12" s="10">
        <v>16</v>
      </c>
      <c r="F12" s="10">
        <f t="shared" si="0"/>
        <v>141.4</v>
      </c>
      <c r="G12" s="12">
        <f t="shared" si="1"/>
        <v>0.748148148148148</v>
      </c>
    </row>
    <row r="13" spans="1:7">
      <c r="A13" s="10">
        <v>12</v>
      </c>
      <c r="B13" s="10" t="s">
        <v>18</v>
      </c>
      <c r="C13" s="10">
        <v>27</v>
      </c>
      <c r="D13" s="11">
        <v>20</v>
      </c>
      <c r="E13" s="10">
        <v>13</v>
      </c>
      <c r="F13" s="10">
        <f t="shared" si="0"/>
        <v>140</v>
      </c>
      <c r="G13" s="12">
        <f t="shared" si="1"/>
        <v>0.740740740740741</v>
      </c>
    </row>
    <row r="14" spans="1:7">
      <c r="A14" s="10">
        <v>13</v>
      </c>
      <c r="B14" s="10" t="s">
        <v>19</v>
      </c>
      <c r="C14" s="10">
        <v>26</v>
      </c>
      <c r="D14" s="11">
        <v>23</v>
      </c>
      <c r="E14" s="10">
        <v>9</v>
      </c>
      <c r="F14" s="10">
        <f t="shared" si="0"/>
        <v>138.8</v>
      </c>
      <c r="G14" s="12">
        <f t="shared" si="1"/>
        <v>0.734391534391534</v>
      </c>
    </row>
    <row r="15" spans="1:7">
      <c r="A15" s="10">
        <v>14</v>
      </c>
      <c r="B15" s="10" t="s">
        <v>20</v>
      </c>
      <c r="C15" s="10">
        <v>24</v>
      </c>
      <c r="D15" s="11">
        <v>26</v>
      </c>
      <c r="E15" s="10">
        <v>4</v>
      </c>
      <c r="F15" s="10">
        <f t="shared" si="0"/>
        <v>133.4</v>
      </c>
      <c r="G15" s="12">
        <f t="shared" si="1"/>
        <v>0.705820105820106</v>
      </c>
    </row>
    <row r="16" spans="1:7">
      <c r="A16" s="10">
        <v>15</v>
      </c>
      <c r="B16" s="10" t="s">
        <v>21</v>
      </c>
      <c r="C16" s="10">
        <v>22</v>
      </c>
      <c r="D16" s="11">
        <v>25</v>
      </c>
      <c r="E16" s="10">
        <v>11</v>
      </c>
      <c r="F16" s="10">
        <f t="shared" si="0"/>
        <v>132.8</v>
      </c>
      <c r="G16" s="12">
        <f t="shared" si="1"/>
        <v>0.702645502645503</v>
      </c>
    </row>
    <row r="17" spans="1:7">
      <c r="A17" s="13">
        <v>16</v>
      </c>
      <c r="B17" s="13" t="s">
        <v>22</v>
      </c>
      <c r="C17" s="13">
        <v>26</v>
      </c>
      <c r="D17" s="14">
        <v>17</v>
      </c>
      <c r="E17" s="13">
        <v>12</v>
      </c>
      <c r="F17" s="13">
        <f t="shared" si="0"/>
        <v>129.5</v>
      </c>
      <c r="G17" s="15">
        <f t="shared" si="1"/>
        <v>0.685185185185185</v>
      </c>
    </row>
    <row r="18" spans="1:7">
      <c r="A18" s="13">
        <v>17</v>
      </c>
      <c r="B18" s="13" t="s">
        <v>23</v>
      </c>
      <c r="C18" s="13">
        <v>24</v>
      </c>
      <c r="D18" s="14">
        <v>20</v>
      </c>
      <c r="E18" s="13">
        <v>9</v>
      </c>
      <c r="F18" s="13">
        <f t="shared" si="0"/>
        <v>126.3</v>
      </c>
      <c r="G18" s="15">
        <f t="shared" si="1"/>
        <v>0.668253968253968</v>
      </c>
    </row>
    <row r="19" spans="1:7">
      <c r="A19" s="13">
        <v>18</v>
      </c>
      <c r="B19" s="13" t="s">
        <v>24</v>
      </c>
      <c r="C19" s="13">
        <v>24</v>
      </c>
      <c r="D19" s="14">
        <v>22</v>
      </c>
      <c r="E19" s="13">
        <v>5</v>
      </c>
      <c r="F19" s="13">
        <f t="shared" si="0"/>
        <v>126.1</v>
      </c>
      <c r="G19" s="15">
        <f t="shared" si="1"/>
        <v>0.667195767195767</v>
      </c>
    </row>
    <row r="20" spans="1:7">
      <c r="A20" s="13">
        <v>19</v>
      </c>
      <c r="B20" s="13" t="s">
        <v>25</v>
      </c>
      <c r="C20" s="13">
        <v>23</v>
      </c>
      <c r="D20" s="14">
        <v>21</v>
      </c>
      <c r="E20" s="13">
        <v>9</v>
      </c>
      <c r="F20" s="13">
        <f t="shared" si="0"/>
        <v>125.3</v>
      </c>
      <c r="G20" s="15">
        <f t="shared" si="1"/>
        <v>0.662962962962963</v>
      </c>
    </row>
    <row r="21" spans="1:7">
      <c r="A21" s="13">
        <v>20</v>
      </c>
      <c r="B21" s="13" t="s">
        <v>26</v>
      </c>
      <c r="C21" s="13">
        <v>22</v>
      </c>
      <c r="D21" s="14">
        <v>19</v>
      </c>
      <c r="E21" s="13">
        <v>15</v>
      </c>
      <c r="F21" s="13">
        <f t="shared" si="0"/>
        <v>124.6</v>
      </c>
      <c r="G21" s="15">
        <f t="shared" si="1"/>
        <v>0.659259259259259</v>
      </c>
    </row>
    <row r="22" spans="1:7">
      <c r="A22" s="13">
        <v>21</v>
      </c>
      <c r="B22" s="13" t="s">
        <v>27</v>
      </c>
      <c r="C22" s="13">
        <v>22</v>
      </c>
      <c r="D22" s="14">
        <v>20</v>
      </c>
      <c r="E22" s="13">
        <v>13</v>
      </c>
      <c r="F22" s="13">
        <f>C22*3.1+D22*2.1+E22*1.1</f>
        <v>124.5</v>
      </c>
      <c r="G22" s="15">
        <f>F22/189</f>
        <v>0.658730158730159</v>
      </c>
    </row>
    <row r="23" spans="1:7">
      <c r="A23" s="13">
        <v>22</v>
      </c>
      <c r="B23" s="13" t="s">
        <v>28</v>
      </c>
      <c r="C23" s="13">
        <v>21</v>
      </c>
      <c r="D23" s="14">
        <v>23</v>
      </c>
      <c r="E23" s="13">
        <v>10</v>
      </c>
      <c r="F23" s="13">
        <f>C23*3.1+D23*2.1+E23*1.1</f>
        <v>124.4</v>
      </c>
      <c r="G23" s="15">
        <f>F23/189</f>
        <v>0.658201058201058</v>
      </c>
    </row>
    <row r="24" spans="1:7">
      <c r="A24" s="13">
        <v>23</v>
      </c>
      <c r="B24" s="13" t="s">
        <v>29</v>
      </c>
      <c r="C24" s="13">
        <v>22</v>
      </c>
      <c r="D24" s="14">
        <v>21</v>
      </c>
      <c r="E24" s="13">
        <v>10</v>
      </c>
      <c r="F24" s="13">
        <f>C24*3.1+D24*2.1+E24*1.1</f>
        <v>123.3</v>
      </c>
      <c r="G24" s="15">
        <f>F24/189</f>
        <v>0.652380952380952</v>
      </c>
    </row>
    <row r="25" spans="1:7">
      <c r="A25" s="13">
        <v>24</v>
      </c>
      <c r="B25" s="13" t="s">
        <v>30</v>
      </c>
      <c r="C25" s="13">
        <v>23</v>
      </c>
      <c r="D25" s="14">
        <v>17</v>
      </c>
      <c r="E25" s="13">
        <v>14</v>
      </c>
      <c r="F25" s="13">
        <f>C25*3.1+D25*2.1+E25*1.1</f>
        <v>122.4</v>
      </c>
      <c r="G25" s="15">
        <f>F25/189</f>
        <v>0.647619047619048</v>
      </c>
    </row>
    <row r="26" spans="1:7">
      <c r="A26" s="13">
        <v>25</v>
      </c>
      <c r="B26" s="13" t="s">
        <v>31</v>
      </c>
      <c r="C26" s="13">
        <v>26</v>
      </c>
      <c r="D26" s="14">
        <v>15</v>
      </c>
      <c r="E26" s="13">
        <v>9</v>
      </c>
      <c r="F26" s="13">
        <f>C26*3.1+D26*2.1+E26*1.1</f>
        <v>122</v>
      </c>
      <c r="G26" s="15">
        <f>F26/189</f>
        <v>0.645502645502646</v>
      </c>
    </row>
    <row r="27" spans="1:7">
      <c r="A27" s="13">
        <v>26</v>
      </c>
      <c r="B27" s="13" t="s">
        <v>32</v>
      </c>
      <c r="C27" s="13">
        <v>18</v>
      </c>
      <c r="D27" s="14">
        <v>25</v>
      </c>
      <c r="E27" s="13">
        <v>11</v>
      </c>
      <c r="F27" s="13">
        <f>C27*3.1+D27*2.1+E27*1.1</f>
        <v>120.4</v>
      </c>
      <c r="G27" s="15">
        <f>F27/189</f>
        <v>0.637037037037037</v>
      </c>
    </row>
    <row r="28" spans="1:7">
      <c r="A28" s="13">
        <v>27</v>
      </c>
      <c r="B28" s="13" t="s">
        <v>33</v>
      </c>
      <c r="C28" s="13">
        <v>18</v>
      </c>
      <c r="D28" s="14">
        <v>23</v>
      </c>
      <c r="E28" s="13">
        <v>14</v>
      </c>
      <c r="F28" s="13">
        <f>C28*3.1+D28*2.1+E28*1.1</f>
        <v>119.5</v>
      </c>
      <c r="G28" s="15">
        <f>F28/189</f>
        <v>0.632275132275132</v>
      </c>
    </row>
    <row r="29" spans="1:7">
      <c r="A29" s="13">
        <v>28</v>
      </c>
      <c r="B29" s="13" t="s">
        <v>34</v>
      </c>
      <c r="C29" s="13">
        <v>24</v>
      </c>
      <c r="D29" s="14">
        <v>19</v>
      </c>
      <c r="E29" s="13">
        <v>4</v>
      </c>
      <c r="F29" s="13">
        <f>C29*3.1+D29*2.1+E29*1.1</f>
        <v>118.7</v>
      </c>
      <c r="G29" s="15">
        <f>F29/189</f>
        <v>0.628042328042328</v>
      </c>
    </row>
    <row r="30" spans="1:7">
      <c r="A30" s="13">
        <v>29</v>
      </c>
      <c r="B30" s="13" t="s">
        <v>35</v>
      </c>
      <c r="C30" s="13">
        <v>23</v>
      </c>
      <c r="D30" s="14">
        <v>17</v>
      </c>
      <c r="E30" s="13">
        <v>9</v>
      </c>
      <c r="F30" s="13">
        <f>C30*3.1+D30*2.1+E30*1.1</f>
        <v>116.9</v>
      </c>
      <c r="G30" s="15">
        <f>F30/189</f>
        <v>0.618518518518519</v>
      </c>
    </row>
    <row r="31" spans="1:7">
      <c r="A31" s="13">
        <v>30</v>
      </c>
      <c r="B31" s="13" t="s">
        <v>36</v>
      </c>
      <c r="C31" s="13">
        <v>19</v>
      </c>
      <c r="D31" s="14">
        <v>20</v>
      </c>
      <c r="E31" s="13">
        <v>14</v>
      </c>
      <c r="F31" s="13">
        <f>C31*3.1+D31*2.1+E31*1.1</f>
        <v>116.3</v>
      </c>
      <c r="G31" s="15">
        <f>F31/189</f>
        <v>0.615343915343915</v>
      </c>
    </row>
    <row r="32" spans="1:7">
      <c r="A32" s="13">
        <v>31</v>
      </c>
      <c r="B32" s="13" t="s">
        <v>37</v>
      </c>
      <c r="C32" s="13">
        <v>19</v>
      </c>
      <c r="D32" s="14">
        <v>18</v>
      </c>
      <c r="E32" s="13">
        <v>14</v>
      </c>
      <c r="F32" s="13">
        <f>C32*3.1+D32*2.1+E32*1.1</f>
        <v>112.1</v>
      </c>
      <c r="G32" s="15">
        <f>F32/189</f>
        <v>0.593121693121693</v>
      </c>
    </row>
    <row r="33" spans="1:7">
      <c r="A33" s="13">
        <v>32</v>
      </c>
      <c r="B33" s="13" t="s">
        <v>38</v>
      </c>
      <c r="C33" s="13">
        <v>18</v>
      </c>
      <c r="D33" s="14">
        <v>21</v>
      </c>
      <c r="E33" s="13">
        <v>11</v>
      </c>
      <c r="F33" s="13">
        <f>C33*3.1+D33*2.1+E33*1.1</f>
        <v>112</v>
      </c>
      <c r="G33" s="15">
        <f>F33/189</f>
        <v>0.592592592592593</v>
      </c>
    </row>
    <row r="34" spans="1:7">
      <c r="A34" s="13">
        <v>33</v>
      </c>
      <c r="B34" s="13" t="s">
        <v>39</v>
      </c>
      <c r="C34" s="13">
        <v>15</v>
      </c>
      <c r="D34" s="14">
        <v>24</v>
      </c>
      <c r="E34" s="13">
        <v>12</v>
      </c>
      <c r="F34" s="13">
        <f>C34*3.1+D34*2.1+E34*1.1</f>
        <v>110.1</v>
      </c>
      <c r="G34" s="15">
        <f>F34/189</f>
        <v>0.582539682539683</v>
      </c>
    </row>
    <row r="35" spans="1:7">
      <c r="A35" s="13">
        <v>34</v>
      </c>
      <c r="B35" s="13" t="s">
        <v>40</v>
      </c>
      <c r="C35" s="13">
        <v>20</v>
      </c>
      <c r="D35" s="14">
        <v>17</v>
      </c>
      <c r="E35" s="13">
        <v>9</v>
      </c>
      <c r="F35" s="13">
        <f>C35*3.1+D35*2.1+E35*1.1</f>
        <v>107.6</v>
      </c>
      <c r="G35" s="15">
        <f>F35/189</f>
        <v>0.569312169312169</v>
      </c>
    </row>
    <row r="36" spans="1:7">
      <c r="A36" s="16">
        <v>35</v>
      </c>
      <c r="B36" s="16" t="s">
        <v>41</v>
      </c>
      <c r="C36" s="16">
        <v>16</v>
      </c>
      <c r="D36" s="17">
        <v>21</v>
      </c>
      <c r="E36" s="16">
        <v>7</v>
      </c>
      <c r="F36" s="16">
        <f>C36*3.1+D36*2.1+E36*1.1</f>
        <v>101.4</v>
      </c>
      <c r="G36" s="18">
        <f>F36/189</f>
        <v>0.536507936507936</v>
      </c>
    </row>
    <row r="37" spans="1:7">
      <c r="A37" s="16">
        <v>36</v>
      </c>
      <c r="B37" s="16" t="s">
        <v>42</v>
      </c>
      <c r="C37" s="16">
        <v>14</v>
      </c>
      <c r="D37" s="17">
        <v>22</v>
      </c>
      <c r="E37" s="16">
        <v>9</v>
      </c>
      <c r="F37" s="16">
        <f>C37*3.1+D37*2.1+E37*1.1</f>
        <v>99.5</v>
      </c>
      <c r="G37" s="18">
        <f>F37/189</f>
        <v>0.526455026455027</v>
      </c>
    </row>
    <row r="38" spans="1:7">
      <c r="A38" s="16">
        <v>37</v>
      </c>
      <c r="B38" s="16" t="s">
        <v>43</v>
      </c>
      <c r="C38" s="16">
        <v>14</v>
      </c>
      <c r="D38" s="17">
        <v>19</v>
      </c>
      <c r="E38" s="16">
        <v>12</v>
      </c>
      <c r="F38" s="16">
        <f>C38*3.1+D38*2.1+E38*1.1</f>
        <v>96.5</v>
      </c>
      <c r="G38" s="18">
        <f>F38/189</f>
        <v>0.510582010582011</v>
      </c>
    </row>
    <row r="39" spans="1:7">
      <c r="A39" s="16">
        <v>39</v>
      </c>
      <c r="B39" s="16" t="s">
        <v>44</v>
      </c>
      <c r="C39" s="16">
        <v>18</v>
      </c>
      <c r="D39" s="17">
        <v>14</v>
      </c>
      <c r="E39" s="16">
        <v>8</v>
      </c>
      <c r="F39" s="16">
        <f>C39*3.1+D39*2.1+E39*1.1</f>
        <v>94</v>
      </c>
      <c r="G39" s="18">
        <f>F39/189</f>
        <v>0.497354497354497</v>
      </c>
    </row>
    <row r="40" spans="1:7">
      <c r="A40" s="16">
        <v>40</v>
      </c>
      <c r="B40" s="16" t="s">
        <v>45</v>
      </c>
      <c r="C40" s="16">
        <v>15</v>
      </c>
      <c r="D40" s="17">
        <v>17</v>
      </c>
      <c r="E40" s="16">
        <v>6</v>
      </c>
      <c r="F40" s="16">
        <f>C40*3.1+D40*2.1+E40*1.1</f>
        <v>88.8</v>
      </c>
      <c r="G40" s="18">
        <f>F40/189</f>
        <v>0.46984126984127</v>
      </c>
    </row>
  </sheetData>
  <sortState ref="B2:G40">
    <sortCondition ref="G40" descending="1"/>
  </sortState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"/>
  <sheetViews>
    <sheetView zoomScale="40" zoomScaleNormal="40" workbookViewId="0">
      <selection activeCell="A11" sqref="A11:A40"/>
    </sheetView>
  </sheetViews>
  <sheetFormatPr defaultColWidth="9" defaultRowHeight="15"/>
  <sheetData>
    <row r="1" ht="15.75" spans="1:1">
      <c r="A1" s="1">
        <v>1</v>
      </c>
    </row>
    <row r="2" ht="15.75" spans="1:1">
      <c r="A2" s="1">
        <v>2</v>
      </c>
    </row>
    <row r="3" ht="15.75" spans="1:1">
      <c r="A3" s="1">
        <v>3</v>
      </c>
    </row>
    <row r="4" ht="15.75" spans="1:1">
      <c r="A4" s="1">
        <v>4</v>
      </c>
    </row>
    <row r="5" ht="15.75" spans="1:1">
      <c r="A5" s="1">
        <v>5</v>
      </c>
    </row>
    <row r="6" ht="15.75" spans="1:1">
      <c r="A6" s="1">
        <v>6</v>
      </c>
    </row>
    <row r="7" ht="15.75" spans="1:1">
      <c r="A7" s="1">
        <v>7</v>
      </c>
    </row>
    <row r="8" ht="15.75" spans="1:1">
      <c r="A8" s="1">
        <v>8</v>
      </c>
    </row>
    <row r="9" ht="15.75" spans="1:1">
      <c r="A9" s="1">
        <v>9</v>
      </c>
    </row>
    <row r="10" ht="15.75" spans="1:1">
      <c r="A10" s="1">
        <v>10</v>
      </c>
    </row>
    <row r="11" ht="15.75" spans="1:1">
      <c r="A11" s="1">
        <v>11</v>
      </c>
    </row>
    <row r="12" ht="15.75" spans="1:1">
      <c r="A12" s="1">
        <v>12</v>
      </c>
    </row>
    <row r="13" ht="15.75" spans="1:1">
      <c r="A13" s="1">
        <v>13</v>
      </c>
    </row>
    <row r="14" ht="15.75" spans="1:1">
      <c r="A14" s="1">
        <v>14</v>
      </c>
    </row>
    <row r="15" ht="15.75" spans="1:1">
      <c r="A15" s="1">
        <v>15</v>
      </c>
    </row>
    <row r="16" ht="15.75" spans="1:1">
      <c r="A16" s="1">
        <v>16</v>
      </c>
    </row>
    <row r="17" ht="15.75" spans="1:1">
      <c r="A17" s="1">
        <v>17</v>
      </c>
    </row>
    <row r="18" ht="15.75" spans="1:1">
      <c r="A18" s="1">
        <v>18</v>
      </c>
    </row>
    <row r="19" ht="15.75" spans="1:1">
      <c r="A19" s="1">
        <v>19</v>
      </c>
    </row>
    <row r="20" ht="15.75" spans="1:1">
      <c r="A20" s="1">
        <v>20</v>
      </c>
    </row>
    <row r="21" ht="15.75" spans="1:1">
      <c r="A21" s="1">
        <v>21</v>
      </c>
    </row>
    <row r="22" ht="15.75" spans="1:1">
      <c r="A22" s="1">
        <v>22</v>
      </c>
    </row>
    <row r="23" ht="15.75" spans="1:1">
      <c r="A23" s="1">
        <v>23</v>
      </c>
    </row>
    <row r="24" ht="15.75" spans="1:1">
      <c r="A24" s="1">
        <v>24</v>
      </c>
    </row>
    <row r="25" ht="15.75" spans="1:1">
      <c r="A25" s="1">
        <v>25</v>
      </c>
    </row>
    <row r="26" ht="15.75" spans="1:1">
      <c r="A26" s="1">
        <v>26</v>
      </c>
    </row>
    <row r="27" ht="15.75" spans="1:1">
      <c r="A27" s="1">
        <v>27</v>
      </c>
    </row>
    <row r="28" ht="15.75" spans="1:1">
      <c r="A28" s="1">
        <v>28</v>
      </c>
    </row>
    <row r="29" ht="15.75" spans="1:1">
      <c r="A29" s="1">
        <v>29</v>
      </c>
    </row>
    <row r="30" ht="15.75" spans="1:1">
      <c r="A30" s="1">
        <v>30</v>
      </c>
    </row>
    <row r="31" ht="15.75" spans="1:1">
      <c r="A31" s="1">
        <v>31</v>
      </c>
    </row>
    <row r="32" ht="15.75" spans="1:1">
      <c r="A32" s="1">
        <v>32</v>
      </c>
    </row>
    <row r="33" ht="15.75" spans="1:1">
      <c r="A33" s="1">
        <v>33</v>
      </c>
    </row>
    <row r="34" ht="15.75" spans="1:1">
      <c r="A34" s="1">
        <v>34</v>
      </c>
    </row>
    <row r="35" ht="15.75" spans="1:1">
      <c r="A35" s="1">
        <v>35</v>
      </c>
    </row>
    <row r="36" ht="15.75" spans="1:1">
      <c r="A36" s="1">
        <v>36</v>
      </c>
    </row>
    <row r="37" ht="15.75" spans="1:1">
      <c r="A37" s="1">
        <v>37</v>
      </c>
    </row>
    <row r="38" ht="15.75" spans="1:1">
      <c r="A38" s="1">
        <v>38</v>
      </c>
    </row>
    <row r="39" ht="15.75" spans="1:1">
      <c r="A39" s="1">
        <v>39</v>
      </c>
    </row>
    <row r="40" ht="15.75" spans="1:1">
      <c r="A40" s="1">
        <v>40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2026-01-08T10:21:38Z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D1FB31FC4FBA4449828BD2461E1109DB_13</vt:lpwstr>
  </property>
  <property fmtid="{D5CDD505-2E9C-101B-9397-08002B2CF9AE}" pid="3" name="KSOProductBuildVer">
    <vt:lpwstr>1049-12.2.0.23196</vt:lpwstr>
  </property>
</Properties>
</file>