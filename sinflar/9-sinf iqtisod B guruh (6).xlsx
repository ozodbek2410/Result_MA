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8019277C-27A3-4881-8CC8-7F9AA2F6C8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r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" i="8" l="1"/>
  <c r="L8" i="8"/>
  <c r="L31" i="8"/>
  <c r="L28" i="8"/>
  <c r="L15" i="8"/>
  <c r="L16" i="8"/>
  <c r="K25" i="8"/>
  <c r="L25" i="8" s="1"/>
  <c r="K35" i="8"/>
  <c r="L35" i="8" s="1"/>
  <c r="K38" i="8"/>
  <c r="L38" i="8" s="1"/>
  <c r="K34" i="8"/>
  <c r="L34" i="8" s="1"/>
  <c r="K16" i="8"/>
  <c r="K20" i="8"/>
  <c r="L20" i="8" s="1"/>
  <c r="K15" i="8"/>
  <c r="K24" i="8"/>
  <c r="L24" i="8" s="1"/>
  <c r="K14" i="8"/>
  <c r="L14" i="8" s="1"/>
  <c r="K3" i="8"/>
  <c r="L3" i="8" s="1"/>
  <c r="K6" i="8"/>
  <c r="L6" i="8" s="1"/>
  <c r="K9" i="8"/>
  <c r="L9" i="8" s="1"/>
  <c r="K28" i="8"/>
  <c r="K32" i="8"/>
  <c r="L32" i="8" s="1"/>
  <c r="K31" i="8"/>
  <c r="K27" i="8"/>
  <c r="L27" i="8" s="1"/>
  <c r="K22" i="8"/>
  <c r="L22" i="8" s="1"/>
  <c r="K4" i="8"/>
  <c r="L4" i="8" s="1"/>
  <c r="K19" i="8"/>
  <c r="L19" i="8" s="1"/>
  <c r="K30" i="8"/>
  <c r="L30" i="8" s="1"/>
  <c r="K8" i="8"/>
  <c r="K18" i="8"/>
  <c r="L18" i="8" s="1"/>
  <c r="K17" i="8"/>
  <c r="L17" i="8" s="1"/>
  <c r="K21" i="8"/>
  <c r="L21" i="8" s="1"/>
  <c r="K29" i="8"/>
  <c r="L29" i="8" s="1"/>
  <c r="K26" i="8"/>
  <c r="L26" i="8" s="1"/>
  <c r="K13" i="8"/>
  <c r="L13" i="8" s="1"/>
  <c r="K37" i="8"/>
  <c r="L37" i="8" s="1"/>
  <c r="K12" i="8"/>
  <c r="K11" i="8"/>
  <c r="L11" i="8" s="1"/>
  <c r="K10" i="8"/>
  <c r="L10" i="8" s="1"/>
  <c r="K33" i="8"/>
  <c r="L33" i="8" s="1"/>
  <c r="K36" i="8"/>
  <c r="L36" i="8" s="1"/>
  <c r="K5" i="8"/>
  <c r="L5" i="8" s="1"/>
  <c r="K7" i="8"/>
  <c r="L7" i="8" s="1"/>
  <c r="K23" i="8"/>
  <c r="L23" i="8" s="1"/>
  <c r="K2" i="8"/>
  <c r="L39" i="8" l="1"/>
  <c r="M39" i="8" s="1"/>
</calcChain>
</file>

<file path=xl/sharedStrings.xml><?xml version="1.0" encoding="utf-8"?>
<sst xmlns="http://schemas.openxmlformats.org/spreadsheetml/2006/main" count="40" uniqueCount="40">
  <si>
    <t>T/R</t>
  </si>
  <si>
    <t>Baxshullayeva Sevinch</t>
  </si>
  <si>
    <t>Sayfullayeva Tabassum</t>
  </si>
  <si>
    <t>Karimova Asal</t>
  </si>
  <si>
    <t>Aminova Sevinch</t>
  </si>
  <si>
    <t>Murodullayeva Sevinch</t>
  </si>
  <si>
    <t>F.I.SH</t>
  </si>
  <si>
    <t>Raxmonkulov Ruslan</t>
  </si>
  <si>
    <t>Kamolov Behruz</t>
  </si>
  <si>
    <t>Nasimov Ibrohim</t>
  </si>
  <si>
    <t>Sadullayev Sohib</t>
  </si>
  <si>
    <t>Odilov Burhonniddin</t>
  </si>
  <si>
    <t xml:space="preserve">Sharipov Shaxriyor </t>
  </si>
  <si>
    <t>Shavkatov Shavkatjon</t>
  </si>
  <si>
    <t>Mehriddinov Zuhriddin</t>
  </si>
  <si>
    <t>Shavkatov Muhammad</t>
  </si>
  <si>
    <t xml:space="preserve">Zayniyev Shahzodbek </t>
  </si>
  <si>
    <t xml:space="preserve">Mustafoyev Daler </t>
  </si>
  <si>
    <t>Ibragimov Alibek</t>
  </si>
  <si>
    <t>Mannopov Muhammadaziz</t>
  </si>
  <si>
    <t>Norchayev Shuhrat</t>
  </si>
  <si>
    <t>Sadirov Ulug'bek</t>
  </si>
  <si>
    <t>Amonov Mirshod</t>
  </si>
  <si>
    <t>Jo'raqulov Javhar</t>
  </si>
  <si>
    <t>Baxshilloyev Asilbek</t>
  </si>
  <si>
    <t>Ulug'jonov Alisherbek</t>
  </si>
  <si>
    <t>O`ktamov Ruslan</t>
  </si>
  <si>
    <t>Iqtisod 9- sinf B guruh  Matematika</t>
  </si>
  <si>
    <t>Foiz</t>
  </si>
  <si>
    <t>Muhiddinov Abdurahmon</t>
  </si>
  <si>
    <t>Toshniyozov Elnurbek</t>
  </si>
  <si>
    <t>Abdurahimov Abdukarim</t>
  </si>
  <si>
    <t>Inoyatov Asadbek</t>
  </si>
  <si>
    <t>Malikova Shabnam</t>
  </si>
  <si>
    <t>Amonov Nuriddinali</t>
  </si>
  <si>
    <t>Zarifova Xonzoda</t>
  </si>
  <si>
    <t>Sirojiddinov Temur</t>
  </si>
  <si>
    <t>G`ulomov Javohir</t>
  </si>
  <si>
    <t>Subxonov Beknurbek</t>
  </si>
  <si>
    <t>Rahimov Adham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</si>
</sst>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10" fontId="4" fillId="6" borderId="1" xfId="1" applyNumberFormat="1" applyFont="1" applyFill="1" applyBorder="1" applyAlignment="1">
      <alignment horizontal="center" vertical="center"/>
    </xf>
    <xf numFmtId="10" fontId="0" fillId="6" borderId="0" xfId="0" applyNumberForma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2A8CE-0E16-48B8-B04E-D760893187D8}">
  <dimension ref="A1:M39"/>
  <sheetViews>
    <sheetView tabSelected="1" workbookViewId="0">
      <selection activeCell="B38" sqref="B38"/>
    </sheetView>
  </sheetViews>
  <sheetFormatPr defaultRowHeight="15" x14ac:dyDescent="0.25"/>
  <cols>
    <col min="1" max="1" width="4.42578125" style="9" bestFit="1" customWidth="1"/>
    <col min="2" max="2" width="33.140625" style="1" bestFit="1" customWidth="1"/>
    <col min="3" max="3" width="9.5703125" style="1" bestFit="1" customWidth="1"/>
    <col min="4" max="5" width="9.42578125" style="1" bestFit="1" customWidth="1"/>
    <col min="6" max="11" width="9.42578125" style="1" customWidth="1"/>
    <col min="12" max="12" width="12.28515625" style="9" customWidth="1"/>
    <col min="13" max="16384" width="9.140625" style="1"/>
  </cols>
  <sheetData>
    <row r="1" spans="1:12" ht="18.75" x14ac:dyDescent="0.25">
      <c r="A1" s="14" t="s">
        <v>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s="2" customFormat="1" ht="26.25" x14ac:dyDescent="0.25">
      <c r="A2" s="7" t="s">
        <v>0</v>
      </c>
      <c r="B2" s="7" t="s">
        <v>6</v>
      </c>
      <c r="C2" s="7">
        <v>30</v>
      </c>
      <c r="D2" s="7">
        <v>30</v>
      </c>
      <c r="E2" s="7"/>
      <c r="F2" s="7"/>
      <c r="G2" s="7"/>
      <c r="H2" s="7"/>
      <c r="I2" s="7"/>
      <c r="J2" s="7"/>
      <c r="K2" s="7">
        <f t="shared" ref="K2" si="0">C2+D2+E2+F2+G2+H2+I2+J2</f>
        <v>60</v>
      </c>
      <c r="L2" s="7" t="s">
        <v>28</v>
      </c>
    </row>
    <row r="3" spans="1:12" ht="18.75" x14ac:dyDescent="0.25">
      <c r="A3" s="7">
        <v>1</v>
      </c>
      <c r="B3" s="3" t="s">
        <v>25</v>
      </c>
      <c r="C3" s="3">
        <v>26</v>
      </c>
      <c r="D3" s="3">
        <v>29</v>
      </c>
      <c r="E3" s="3"/>
      <c r="F3" s="3"/>
      <c r="G3" s="3"/>
      <c r="H3" s="3"/>
      <c r="I3" s="3"/>
      <c r="J3" s="3"/>
      <c r="K3" s="7">
        <f t="shared" ref="K3:K38" si="1">C3+D3+E3+F3+G3+H3+I3+J3</f>
        <v>55</v>
      </c>
      <c r="L3" s="10">
        <f t="shared" ref="L3:L38" si="2">K3/60</f>
        <v>0.91666666666666663</v>
      </c>
    </row>
    <row r="4" spans="1:12" ht="18.75" x14ac:dyDescent="0.25">
      <c r="A4" s="7">
        <v>2</v>
      </c>
      <c r="B4" s="3" t="s">
        <v>34</v>
      </c>
      <c r="C4" s="3">
        <v>25</v>
      </c>
      <c r="D4" s="3">
        <v>29</v>
      </c>
      <c r="E4" s="3"/>
      <c r="F4" s="3"/>
      <c r="G4" s="3"/>
      <c r="H4" s="3"/>
      <c r="I4" s="3"/>
      <c r="J4" s="3"/>
      <c r="K4" s="7">
        <f t="shared" si="1"/>
        <v>54</v>
      </c>
      <c r="L4" s="10">
        <f t="shared" si="2"/>
        <v>0.9</v>
      </c>
    </row>
    <row r="5" spans="1:12" ht="18.75" x14ac:dyDescent="0.25">
      <c r="A5" s="7">
        <v>3</v>
      </c>
      <c r="B5" s="3" t="s">
        <v>20</v>
      </c>
      <c r="C5" s="3">
        <v>26</v>
      </c>
      <c r="D5" s="3">
        <v>27</v>
      </c>
      <c r="E5" s="3"/>
      <c r="F5" s="3"/>
      <c r="G5" s="3"/>
      <c r="H5" s="3"/>
      <c r="I5" s="3"/>
      <c r="J5" s="3"/>
      <c r="K5" s="7">
        <f t="shared" si="1"/>
        <v>53</v>
      </c>
      <c r="L5" s="10">
        <f t="shared" si="2"/>
        <v>0.8833333333333333</v>
      </c>
    </row>
    <row r="6" spans="1:12" ht="18.75" x14ac:dyDescent="0.25">
      <c r="A6" s="7">
        <v>4</v>
      </c>
      <c r="B6" s="3" t="s">
        <v>15</v>
      </c>
      <c r="C6" s="3">
        <v>26</v>
      </c>
      <c r="D6" s="3">
        <v>27</v>
      </c>
      <c r="E6" s="3"/>
      <c r="F6" s="3"/>
      <c r="G6" s="3"/>
      <c r="H6" s="3"/>
      <c r="I6" s="3"/>
      <c r="J6" s="3"/>
      <c r="K6" s="7">
        <f t="shared" si="1"/>
        <v>53</v>
      </c>
      <c r="L6" s="10">
        <f t="shared" si="2"/>
        <v>0.8833333333333333</v>
      </c>
    </row>
    <row r="7" spans="1:12" ht="18.75" x14ac:dyDescent="0.25">
      <c r="A7" s="7">
        <v>5</v>
      </c>
      <c r="B7" s="3" t="s">
        <v>24</v>
      </c>
      <c r="C7" s="3">
        <v>27</v>
      </c>
      <c r="D7" s="3">
        <v>25</v>
      </c>
      <c r="E7" s="3"/>
      <c r="F7" s="3"/>
      <c r="G7" s="3"/>
      <c r="H7" s="3"/>
      <c r="I7" s="3"/>
      <c r="J7" s="3"/>
      <c r="K7" s="7">
        <f t="shared" si="1"/>
        <v>52</v>
      </c>
      <c r="L7" s="10">
        <f t="shared" si="2"/>
        <v>0.8666666666666667</v>
      </c>
    </row>
    <row r="8" spans="1:12" ht="18.75" x14ac:dyDescent="0.25">
      <c r="A8" s="7">
        <v>6</v>
      </c>
      <c r="B8" s="4" t="s">
        <v>14</v>
      </c>
      <c r="C8" s="4">
        <v>24</v>
      </c>
      <c r="D8" s="4">
        <v>26</v>
      </c>
      <c r="E8" s="4"/>
      <c r="F8" s="4"/>
      <c r="G8" s="4"/>
      <c r="H8" s="4"/>
      <c r="I8" s="4"/>
      <c r="J8" s="4"/>
      <c r="K8" s="7">
        <f t="shared" si="1"/>
        <v>50</v>
      </c>
      <c r="L8" s="10">
        <f t="shared" si="2"/>
        <v>0.83333333333333337</v>
      </c>
    </row>
    <row r="9" spans="1:12" ht="18.75" x14ac:dyDescent="0.25">
      <c r="A9" s="7">
        <v>7</v>
      </c>
      <c r="B9" s="4" t="s">
        <v>32</v>
      </c>
      <c r="C9" s="4">
        <v>24</v>
      </c>
      <c r="D9" s="4">
        <v>26</v>
      </c>
      <c r="E9" s="4"/>
      <c r="F9" s="4"/>
      <c r="G9" s="4"/>
      <c r="H9" s="4"/>
      <c r="I9" s="4"/>
      <c r="J9" s="4"/>
      <c r="K9" s="7">
        <f t="shared" si="1"/>
        <v>50</v>
      </c>
      <c r="L9" s="10">
        <f t="shared" si="2"/>
        <v>0.83333333333333337</v>
      </c>
    </row>
    <row r="10" spans="1:12" ht="18.75" x14ac:dyDescent="0.25">
      <c r="A10" s="7">
        <v>8</v>
      </c>
      <c r="B10" s="4" t="s">
        <v>9</v>
      </c>
      <c r="C10" s="4">
        <v>23</v>
      </c>
      <c r="D10" s="4">
        <v>26</v>
      </c>
      <c r="E10" s="4"/>
      <c r="F10" s="4"/>
      <c r="G10" s="4"/>
      <c r="H10" s="4"/>
      <c r="I10" s="4"/>
      <c r="J10" s="4"/>
      <c r="K10" s="7">
        <f t="shared" si="1"/>
        <v>49</v>
      </c>
      <c r="L10" s="10">
        <f t="shared" si="2"/>
        <v>0.81666666666666665</v>
      </c>
    </row>
    <row r="11" spans="1:12" ht="18.75" x14ac:dyDescent="0.25">
      <c r="A11" s="7">
        <v>9</v>
      </c>
      <c r="B11" s="4" t="s">
        <v>26</v>
      </c>
      <c r="C11" s="4">
        <v>21</v>
      </c>
      <c r="D11" s="4">
        <v>28</v>
      </c>
      <c r="E11" s="4"/>
      <c r="F11" s="4"/>
      <c r="G11" s="4"/>
      <c r="H11" s="4"/>
      <c r="I11" s="4"/>
      <c r="J11" s="4"/>
      <c r="K11" s="7">
        <f t="shared" si="1"/>
        <v>49</v>
      </c>
      <c r="L11" s="10">
        <f t="shared" si="2"/>
        <v>0.81666666666666665</v>
      </c>
    </row>
    <row r="12" spans="1:12" ht="18.75" x14ac:dyDescent="0.25">
      <c r="A12" s="7">
        <v>10</v>
      </c>
      <c r="B12" s="4" t="s">
        <v>21</v>
      </c>
      <c r="C12" s="4">
        <v>22</v>
      </c>
      <c r="D12" s="4">
        <v>27</v>
      </c>
      <c r="E12" s="4"/>
      <c r="F12" s="4"/>
      <c r="G12" s="4"/>
      <c r="H12" s="4"/>
      <c r="I12" s="4"/>
      <c r="J12" s="4"/>
      <c r="K12" s="7">
        <f t="shared" si="1"/>
        <v>49</v>
      </c>
      <c r="L12" s="10">
        <f t="shared" si="2"/>
        <v>0.81666666666666665</v>
      </c>
    </row>
    <row r="13" spans="1:12" ht="18.75" x14ac:dyDescent="0.25">
      <c r="A13" s="7">
        <v>11</v>
      </c>
      <c r="B13" s="4" t="s">
        <v>12</v>
      </c>
      <c r="C13" s="4">
        <v>21</v>
      </c>
      <c r="D13" s="4">
        <v>28</v>
      </c>
      <c r="E13" s="4"/>
      <c r="F13" s="4"/>
      <c r="G13" s="4"/>
      <c r="H13" s="4"/>
      <c r="I13" s="4"/>
      <c r="J13" s="4"/>
      <c r="K13" s="7">
        <f t="shared" si="1"/>
        <v>49</v>
      </c>
      <c r="L13" s="10">
        <f t="shared" si="2"/>
        <v>0.81666666666666665</v>
      </c>
    </row>
    <row r="14" spans="1:12" ht="18.75" x14ac:dyDescent="0.25">
      <c r="A14" s="7">
        <v>12</v>
      </c>
      <c r="B14" s="4" t="s">
        <v>11</v>
      </c>
      <c r="C14" s="4">
        <v>24</v>
      </c>
      <c r="D14" s="4">
        <v>25</v>
      </c>
      <c r="E14" s="4"/>
      <c r="F14" s="4"/>
      <c r="G14" s="4"/>
      <c r="H14" s="4"/>
      <c r="I14" s="4"/>
      <c r="J14" s="4"/>
      <c r="K14" s="7">
        <f t="shared" si="1"/>
        <v>49</v>
      </c>
      <c r="L14" s="10">
        <f t="shared" si="2"/>
        <v>0.81666666666666665</v>
      </c>
    </row>
    <row r="15" spans="1:12" ht="18.75" x14ac:dyDescent="0.25">
      <c r="A15" s="7">
        <v>13</v>
      </c>
      <c r="B15" s="4" t="s">
        <v>33</v>
      </c>
      <c r="C15" s="4">
        <v>22</v>
      </c>
      <c r="D15" s="4">
        <v>27</v>
      </c>
      <c r="E15" s="4"/>
      <c r="F15" s="4"/>
      <c r="G15" s="4"/>
      <c r="H15" s="4"/>
      <c r="I15" s="4"/>
      <c r="J15" s="4"/>
      <c r="K15" s="7">
        <f t="shared" si="1"/>
        <v>49</v>
      </c>
      <c r="L15" s="10">
        <f t="shared" si="2"/>
        <v>0.81666666666666665</v>
      </c>
    </row>
    <row r="16" spans="1:12" ht="18.75" x14ac:dyDescent="0.25">
      <c r="A16" s="7">
        <v>14</v>
      </c>
      <c r="B16" s="4" t="s">
        <v>10</v>
      </c>
      <c r="C16" s="4">
        <v>23</v>
      </c>
      <c r="D16" s="4">
        <v>26</v>
      </c>
      <c r="E16" s="4"/>
      <c r="F16" s="4"/>
      <c r="G16" s="4"/>
      <c r="H16" s="4"/>
      <c r="I16" s="4"/>
      <c r="J16" s="4"/>
      <c r="K16" s="7">
        <f t="shared" si="1"/>
        <v>49</v>
      </c>
      <c r="L16" s="10">
        <f t="shared" si="2"/>
        <v>0.81666666666666665</v>
      </c>
    </row>
    <row r="17" spans="1:12" ht="18.75" x14ac:dyDescent="0.25">
      <c r="A17" s="7">
        <v>15</v>
      </c>
      <c r="B17" s="4" t="s">
        <v>2</v>
      </c>
      <c r="C17" s="4">
        <v>22</v>
      </c>
      <c r="D17" s="4">
        <v>26</v>
      </c>
      <c r="E17" s="4"/>
      <c r="F17" s="4"/>
      <c r="G17" s="4"/>
      <c r="H17" s="4"/>
      <c r="I17" s="4"/>
      <c r="J17" s="4"/>
      <c r="K17" s="7">
        <f t="shared" si="1"/>
        <v>48</v>
      </c>
      <c r="L17" s="10">
        <f t="shared" si="2"/>
        <v>0.8</v>
      </c>
    </row>
    <row r="18" spans="1:12" ht="18.75" x14ac:dyDescent="0.25">
      <c r="A18" s="7">
        <v>16</v>
      </c>
      <c r="B18" s="4" t="s">
        <v>8</v>
      </c>
      <c r="C18" s="4">
        <v>24</v>
      </c>
      <c r="D18" s="4">
        <v>24</v>
      </c>
      <c r="E18" s="4"/>
      <c r="F18" s="4"/>
      <c r="G18" s="4"/>
      <c r="H18" s="4"/>
      <c r="I18" s="4"/>
      <c r="J18" s="4"/>
      <c r="K18" s="7">
        <f t="shared" si="1"/>
        <v>48</v>
      </c>
      <c r="L18" s="10">
        <f t="shared" si="2"/>
        <v>0.8</v>
      </c>
    </row>
    <row r="19" spans="1:12" ht="18.75" x14ac:dyDescent="0.25">
      <c r="A19" s="7">
        <v>17</v>
      </c>
      <c r="B19" s="4" t="s">
        <v>30</v>
      </c>
      <c r="C19" s="4">
        <v>23</v>
      </c>
      <c r="D19" s="4">
        <v>25</v>
      </c>
      <c r="E19" s="4"/>
      <c r="F19" s="4"/>
      <c r="G19" s="4"/>
      <c r="H19" s="4"/>
      <c r="I19" s="4"/>
      <c r="J19" s="4"/>
      <c r="K19" s="7">
        <f t="shared" si="1"/>
        <v>48</v>
      </c>
      <c r="L19" s="10">
        <f t="shared" si="2"/>
        <v>0.8</v>
      </c>
    </row>
    <row r="20" spans="1:12" ht="18.75" x14ac:dyDescent="0.25">
      <c r="A20" s="7">
        <v>18</v>
      </c>
      <c r="B20" s="4" t="s">
        <v>18</v>
      </c>
      <c r="C20" s="4">
        <v>21</v>
      </c>
      <c r="D20" s="4">
        <v>26</v>
      </c>
      <c r="E20" s="4"/>
      <c r="F20" s="4"/>
      <c r="G20" s="4"/>
      <c r="H20" s="4"/>
      <c r="I20" s="4"/>
      <c r="J20" s="4"/>
      <c r="K20" s="7">
        <f t="shared" si="1"/>
        <v>47</v>
      </c>
      <c r="L20" s="10">
        <f t="shared" si="2"/>
        <v>0.78333333333333333</v>
      </c>
    </row>
    <row r="21" spans="1:12" ht="18.75" x14ac:dyDescent="0.25">
      <c r="A21" s="7">
        <v>19</v>
      </c>
      <c r="B21" s="4" t="s">
        <v>13</v>
      </c>
      <c r="C21" s="4">
        <v>20</v>
      </c>
      <c r="D21" s="4">
        <v>26</v>
      </c>
      <c r="E21" s="4"/>
      <c r="F21" s="4"/>
      <c r="G21" s="4"/>
      <c r="H21" s="4"/>
      <c r="I21" s="4"/>
      <c r="J21" s="4"/>
      <c r="K21" s="7">
        <f t="shared" si="1"/>
        <v>46</v>
      </c>
      <c r="L21" s="10">
        <f t="shared" si="2"/>
        <v>0.76666666666666672</v>
      </c>
    </row>
    <row r="22" spans="1:12" ht="18.75" x14ac:dyDescent="0.25">
      <c r="A22" s="7">
        <v>20</v>
      </c>
      <c r="B22" s="4" t="s">
        <v>22</v>
      </c>
      <c r="C22" s="4">
        <v>22</v>
      </c>
      <c r="D22" s="4">
        <v>24</v>
      </c>
      <c r="E22" s="4"/>
      <c r="F22" s="4"/>
      <c r="G22" s="4"/>
      <c r="H22" s="4"/>
      <c r="I22" s="4"/>
      <c r="J22" s="4"/>
      <c r="K22" s="7">
        <f t="shared" si="1"/>
        <v>46</v>
      </c>
      <c r="L22" s="10">
        <f t="shared" si="2"/>
        <v>0.76666666666666672</v>
      </c>
    </row>
    <row r="23" spans="1:12" s="8" customFormat="1" ht="18.75" x14ac:dyDescent="0.25">
      <c r="A23" s="7">
        <v>21</v>
      </c>
      <c r="B23" s="4" t="s">
        <v>38</v>
      </c>
      <c r="C23" s="4">
        <v>22</v>
      </c>
      <c r="D23" s="4">
        <v>22</v>
      </c>
      <c r="E23" s="4"/>
      <c r="F23" s="4"/>
      <c r="G23" s="4"/>
      <c r="H23" s="4"/>
      <c r="I23" s="4"/>
      <c r="J23" s="4"/>
      <c r="K23" s="7">
        <f t="shared" si="1"/>
        <v>44</v>
      </c>
      <c r="L23" s="10">
        <f t="shared" si="2"/>
        <v>0.73333333333333328</v>
      </c>
    </row>
    <row r="24" spans="1:12" ht="18.75" x14ac:dyDescent="0.25">
      <c r="A24" s="7">
        <v>22</v>
      </c>
      <c r="B24" s="4" t="s">
        <v>37</v>
      </c>
      <c r="C24" s="4">
        <v>18</v>
      </c>
      <c r="D24" s="4">
        <v>26</v>
      </c>
      <c r="E24" s="4"/>
      <c r="F24" s="4"/>
      <c r="G24" s="4"/>
      <c r="H24" s="4"/>
      <c r="I24" s="4"/>
      <c r="J24" s="4"/>
      <c r="K24" s="7">
        <f t="shared" si="1"/>
        <v>44</v>
      </c>
      <c r="L24" s="10">
        <f t="shared" si="2"/>
        <v>0.73333333333333328</v>
      </c>
    </row>
    <row r="25" spans="1:12" ht="18.75" x14ac:dyDescent="0.25">
      <c r="A25" s="7">
        <v>23</v>
      </c>
      <c r="B25" s="4" t="s">
        <v>7</v>
      </c>
      <c r="C25" s="4">
        <v>20</v>
      </c>
      <c r="D25" s="4">
        <v>24</v>
      </c>
      <c r="E25" s="4"/>
      <c r="F25" s="4"/>
      <c r="G25" s="4"/>
      <c r="H25" s="4"/>
      <c r="I25" s="4"/>
      <c r="J25" s="4"/>
      <c r="K25" s="7">
        <f t="shared" si="1"/>
        <v>44</v>
      </c>
      <c r="L25" s="10">
        <f t="shared" si="2"/>
        <v>0.73333333333333328</v>
      </c>
    </row>
    <row r="26" spans="1:12" ht="18.75" x14ac:dyDescent="0.25">
      <c r="A26" s="7">
        <v>24</v>
      </c>
      <c r="B26" s="5" t="s">
        <v>16</v>
      </c>
      <c r="C26" s="5">
        <v>17</v>
      </c>
      <c r="D26" s="5">
        <v>25</v>
      </c>
      <c r="E26" s="5"/>
      <c r="F26" s="5"/>
      <c r="G26" s="5"/>
      <c r="H26" s="5"/>
      <c r="I26" s="5"/>
      <c r="J26" s="5"/>
      <c r="K26" s="7">
        <f t="shared" si="1"/>
        <v>42</v>
      </c>
      <c r="L26" s="10">
        <f t="shared" si="2"/>
        <v>0.7</v>
      </c>
    </row>
    <row r="27" spans="1:12" ht="18.75" x14ac:dyDescent="0.25">
      <c r="A27" s="7">
        <v>25</v>
      </c>
      <c r="B27" s="5" t="s">
        <v>35</v>
      </c>
      <c r="C27" s="5">
        <v>18</v>
      </c>
      <c r="D27" s="5">
        <v>23</v>
      </c>
      <c r="E27" s="5"/>
      <c r="F27" s="5"/>
      <c r="G27" s="5"/>
      <c r="H27" s="5"/>
      <c r="I27" s="5"/>
      <c r="J27" s="5"/>
      <c r="K27" s="7">
        <f t="shared" si="1"/>
        <v>41</v>
      </c>
      <c r="L27" s="10">
        <f t="shared" si="2"/>
        <v>0.68333333333333335</v>
      </c>
    </row>
    <row r="28" spans="1:12" ht="18.75" x14ac:dyDescent="0.25">
      <c r="A28" s="7">
        <v>26</v>
      </c>
      <c r="B28" s="5" t="s">
        <v>4</v>
      </c>
      <c r="C28" s="5">
        <v>18</v>
      </c>
      <c r="D28" s="5">
        <v>23</v>
      </c>
      <c r="E28" s="5"/>
      <c r="F28" s="5"/>
      <c r="G28" s="5"/>
      <c r="H28" s="5"/>
      <c r="I28" s="5"/>
      <c r="J28" s="5"/>
      <c r="K28" s="7">
        <f t="shared" si="1"/>
        <v>41</v>
      </c>
      <c r="L28" s="10">
        <f t="shared" si="2"/>
        <v>0.68333333333333335</v>
      </c>
    </row>
    <row r="29" spans="1:12" ht="18.75" x14ac:dyDescent="0.25">
      <c r="A29" s="7">
        <v>27</v>
      </c>
      <c r="B29" s="5" t="s">
        <v>36</v>
      </c>
      <c r="C29" s="5">
        <v>17</v>
      </c>
      <c r="D29" s="5">
        <v>23</v>
      </c>
      <c r="E29" s="5"/>
      <c r="F29" s="5"/>
      <c r="G29" s="5"/>
      <c r="H29" s="5"/>
      <c r="I29" s="5"/>
      <c r="J29" s="5"/>
      <c r="K29" s="7">
        <f t="shared" si="1"/>
        <v>40</v>
      </c>
      <c r="L29" s="10">
        <f t="shared" si="2"/>
        <v>0.66666666666666663</v>
      </c>
    </row>
    <row r="30" spans="1:12" ht="18.75" x14ac:dyDescent="0.25">
      <c r="A30" s="7">
        <v>28</v>
      </c>
      <c r="B30" s="5" t="s">
        <v>5</v>
      </c>
      <c r="C30" s="5">
        <v>15</v>
      </c>
      <c r="D30" s="5">
        <v>25</v>
      </c>
      <c r="E30" s="5"/>
      <c r="F30" s="5"/>
      <c r="G30" s="5"/>
      <c r="H30" s="5"/>
      <c r="I30" s="5"/>
      <c r="J30" s="5"/>
      <c r="K30" s="7">
        <f t="shared" si="1"/>
        <v>40</v>
      </c>
      <c r="L30" s="10">
        <f t="shared" si="2"/>
        <v>0.66666666666666663</v>
      </c>
    </row>
    <row r="31" spans="1:12" ht="18.75" x14ac:dyDescent="0.25">
      <c r="A31" s="7">
        <v>29</v>
      </c>
      <c r="B31" s="5" t="s">
        <v>29</v>
      </c>
      <c r="C31" s="5">
        <v>17</v>
      </c>
      <c r="D31" s="5">
        <v>21</v>
      </c>
      <c r="E31" s="5"/>
      <c r="F31" s="5"/>
      <c r="G31" s="5"/>
      <c r="H31" s="5"/>
      <c r="I31" s="5"/>
      <c r="J31" s="5"/>
      <c r="K31" s="7">
        <f t="shared" si="1"/>
        <v>38</v>
      </c>
      <c r="L31" s="10">
        <f t="shared" si="2"/>
        <v>0.6333333333333333</v>
      </c>
    </row>
    <row r="32" spans="1:12" ht="18.75" x14ac:dyDescent="0.25">
      <c r="A32" s="7">
        <v>30</v>
      </c>
      <c r="B32" s="5" t="s">
        <v>39</v>
      </c>
      <c r="C32" s="5">
        <v>22</v>
      </c>
      <c r="D32" s="5">
        <v>16</v>
      </c>
      <c r="E32" s="5"/>
      <c r="F32" s="5"/>
      <c r="G32" s="5"/>
      <c r="H32" s="5"/>
      <c r="I32" s="5"/>
      <c r="J32" s="5"/>
      <c r="K32" s="7">
        <f t="shared" si="1"/>
        <v>38</v>
      </c>
      <c r="L32" s="10">
        <f t="shared" si="2"/>
        <v>0.6333333333333333</v>
      </c>
    </row>
    <row r="33" spans="1:13" ht="18.75" x14ac:dyDescent="0.25">
      <c r="A33" s="7">
        <v>31</v>
      </c>
      <c r="B33" s="5" t="s">
        <v>23</v>
      </c>
      <c r="C33" s="5">
        <v>12</v>
      </c>
      <c r="D33" s="5">
        <v>22</v>
      </c>
      <c r="E33" s="5"/>
      <c r="F33" s="5"/>
      <c r="G33" s="5"/>
      <c r="H33" s="5"/>
      <c r="I33" s="5"/>
      <c r="J33" s="5"/>
      <c r="K33" s="7">
        <f t="shared" si="1"/>
        <v>34</v>
      </c>
      <c r="L33" s="10">
        <f t="shared" si="2"/>
        <v>0.56666666666666665</v>
      </c>
    </row>
    <row r="34" spans="1:13" ht="18.75" x14ac:dyDescent="0.25">
      <c r="A34" s="7">
        <v>32</v>
      </c>
      <c r="B34" s="5" t="s">
        <v>1</v>
      </c>
      <c r="C34" s="5">
        <v>13</v>
      </c>
      <c r="D34" s="5">
        <v>21</v>
      </c>
      <c r="E34" s="5"/>
      <c r="F34" s="5"/>
      <c r="G34" s="5"/>
      <c r="H34" s="5"/>
      <c r="I34" s="5"/>
      <c r="J34" s="5"/>
      <c r="K34" s="7">
        <f t="shared" si="1"/>
        <v>34</v>
      </c>
      <c r="L34" s="10">
        <f t="shared" si="2"/>
        <v>0.56666666666666665</v>
      </c>
    </row>
    <row r="35" spans="1:13" ht="18.75" x14ac:dyDescent="0.25">
      <c r="A35" s="7">
        <v>33</v>
      </c>
      <c r="B35" s="6" t="s">
        <v>31</v>
      </c>
      <c r="C35" s="6">
        <v>10</v>
      </c>
      <c r="D35" s="6">
        <v>19</v>
      </c>
      <c r="E35" s="6"/>
      <c r="F35" s="6"/>
      <c r="G35" s="6"/>
      <c r="H35" s="6"/>
      <c r="I35" s="6"/>
      <c r="J35" s="6"/>
      <c r="K35" s="7">
        <f t="shared" si="1"/>
        <v>29</v>
      </c>
      <c r="L35" s="10">
        <f t="shared" si="2"/>
        <v>0.48333333333333334</v>
      </c>
    </row>
    <row r="36" spans="1:13" ht="18.75" x14ac:dyDescent="0.25">
      <c r="A36" s="7">
        <v>34</v>
      </c>
      <c r="B36" s="13" t="s">
        <v>19</v>
      </c>
      <c r="C36" s="6">
        <v>0</v>
      </c>
      <c r="D36" s="6">
        <v>0</v>
      </c>
      <c r="E36" s="6"/>
      <c r="F36" s="6"/>
      <c r="G36" s="6"/>
      <c r="H36" s="6"/>
      <c r="I36" s="6"/>
      <c r="J36" s="6"/>
      <c r="K36" s="7">
        <f t="shared" si="1"/>
        <v>0</v>
      </c>
      <c r="L36" s="10">
        <f t="shared" si="2"/>
        <v>0</v>
      </c>
    </row>
    <row r="37" spans="1:13" ht="18.75" x14ac:dyDescent="0.25">
      <c r="A37" s="7">
        <v>35</v>
      </c>
      <c r="B37" s="6" t="s">
        <v>17</v>
      </c>
      <c r="C37" s="6">
        <v>0</v>
      </c>
      <c r="D37" s="6">
        <v>0</v>
      </c>
      <c r="E37" s="6"/>
      <c r="F37" s="6"/>
      <c r="G37" s="6"/>
      <c r="H37" s="6"/>
      <c r="I37" s="6"/>
      <c r="J37" s="6"/>
      <c r="K37" s="7">
        <f t="shared" si="1"/>
        <v>0</v>
      </c>
      <c r="L37" s="10">
        <f t="shared" si="2"/>
        <v>0</v>
      </c>
    </row>
    <row r="38" spans="1:13" ht="18.75" x14ac:dyDescent="0.25">
      <c r="A38" s="7">
        <v>36</v>
      </c>
      <c r="B38" s="12" t="s">
        <v>3</v>
      </c>
      <c r="C38" s="12"/>
      <c r="D38" s="12"/>
      <c r="E38" s="12"/>
      <c r="F38" s="12"/>
      <c r="G38" s="12"/>
      <c r="H38" s="12"/>
      <c r="I38" s="12"/>
      <c r="J38" s="12"/>
      <c r="K38" s="7">
        <f t="shared" si="1"/>
        <v>0</v>
      </c>
      <c r="L38" s="10">
        <f t="shared" si="2"/>
        <v>0</v>
      </c>
    </row>
    <row r="39" spans="1:13" x14ac:dyDescent="0.25">
      <c r="L39" s="11">
        <f>SUM(L3:L38)</f>
        <v>25.033333333333339</v>
      </c>
      <c r="M39" s="1">
        <f>L39/36</f>
        <v>0.69537037037037053</v>
      </c>
    </row>
  </sheetData>
  <sortState xmlns:xlrd2="http://schemas.microsoft.com/office/spreadsheetml/2017/richdata2" ref="B3:L38">
    <sortCondition descending="1" ref="L3:L38"/>
  </sortState>
  <mergeCells count="1">
    <mergeCell ref="A1:L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2026-03-12T11:56:15Z</dcterms:modified>
</cp:coreProperties>
</file>