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11 Yurid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<sst xmlns="http://schemas.openxmlformats.org/spreadsheetml/2006/main" count="36" uniqueCount="36">
  <si>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11-YURIDIK</t>
  </si>
  <si>
    <t>T/R</t>
  </si>
  <si>
    <t>O'quvchining F.I.SH</t>
  </si>
  <si>
    <t>Huquq</t>
  </si>
  <si>
    <t>Chet tili</t>
  </si>
  <si>
    <t>Matem/Tarix</t>
  </si>
  <si>
    <t>Ball</t>
  </si>
  <si>
    <t>Foiz</t>
  </si>
  <si>
    <t>Xayrullayev Firdavs</t>
  </si>
  <si>
    <t>Furqatov Manuchar</t>
  </si>
  <si>
    <t>Samadov Firdavs</t>
  </si>
  <si>
    <t xml:space="preserve">Ismoilova Shukrona </t>
  </si>
  <si>
    <t>A'lamov Sardorbek</t>
  </si>
  <si>
    <t>Xo'jamurodov Humoyun</t>
  </si>
  <si>
    <t xml:space="preserve">Ikromov Ibrohim </t>
  </si>
  <si>
    <t>Muzaffarova Shahina</t>
  </si>
  <si>
    <t xml:space="preserve">Baxshullayev Mirxon </t>
  </si>
  <si>
    <t>Qosimova Feruza</t>
  </si>
  <si>
    <t xml:space="preserve">Abdukarimov Diyorbek </t>
  </si>
  <si>
    <t>Shuxratova  Dilnoza</t>
  </si>
  <si>
    <t>Abdumominov Laziz</t>
  </si>
  <si>
    <t>Sadullayeva Shahrizoda</t>
  </si>
  <si>
    <t xml:space="preserve">Jumaqulova Malika </t>
  </si>
  <si>
    <t>Sheraliyev  Jasur</t>
  </si>
  <si>
    <t>Rayxonova  Gulrux</t>
  </si>
  <si>
    <t>Toshtemirov Odilbek</t>
  </si>
  <si>
    <t>Odilov Ozodbek</t>
  </si>
  <si>
    <t>Akmalov  Nurzod</t>
  </si>
  <si>
    <t>Hakimova Nodira</t>
  </si>
  <si>
    <t>Odilov  Abdurauf</t>
  </si>
  <si>
    <t>Abdunabiyev Ozodbek</t>
  </si>
  <si>
    <t>Erkinov Asilbek</t>
  </si>
  <si>
    <t>Adizov  Jahongir</t>
  </si>
  <si>
    <t xml:space="preserve">Asatullayev Sayyid Amirxon </t>
  </si>
  <si>
    <t>Mavlonov  Sarvar</t>
  </si>
  <si>
    <t>Shuxratov Begzod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</si>
</sst>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6"/>
      <name val="Times New Roman Regular"/>
      <charset val="204"/>
    </font>
    <font>
      <b/>
      <sz val="12"/>
      <name val="Times New Roman Regular"/>
      <charset val="204"/>
    </font>
    <font>
      <sz val="12"/>
      <name val="Times New Roman Regular"/>
      <charset val="204"/>
    </font>
    <font>
      <sz val="12"/>
      <color theme="1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0" fontId="3" fillId="0" borderId="3" xfId="3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4"/>
  <sheetViews>
    <sheetView tabSelected="1" workbookViewId="0">
      <selection activeCell="C4" sqref="C4:H31"/>
    </sheetView>
  </sheetViews>
  <sheetFormatPr defaultColWidth="9" defaultRowHeight="16.8" outlineLevelCol="7"/>
  <cols>
    <col min="3" max="3" width="26.953125" customWidth="1"/>
    <col min="5" max="5" width="9.6328125" customWidth="1"/>
    <col min="6" max="6" width="11.5859375" customWidth="1"/>
  </cols>
  <sheetData>
    <row r="2" ht="23.2" spans="2:8">
      <c r="B2" s="1" t="s">
        <v>0</v>
      </c>
      <c r="C2" s="2"/>
      <c r="D2" s="2"/>
      <c r="E2" s="2"/>
      <c r="F2" s="2"/>
      <c r="G2" s="2"/>
      <c r="H2" s="7"/>
    </row>
    <row r="3" ht="18" spans="2:8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7.6" spans="2:8">
      <c r="B4" s="4">
        <v>1</v>
      </c>
      <c r="C4" s="5" t="s">
        <v>8</v>
      </c>
      <c r="D4" s="4">
        <v>29</v>
      </c>
      <c r="E4" s="4">
        <v>30</v>
      </c>
      <c r="F4" s="4">
        <v>30</v>
      </c>
      <c r="G4" s="4">
        <f t="shared" ref="G4:G31" si="0">F4*1.1+E4*2.1+D4*3.1</f>
        <v>185.9</v>
      </c>
      <c r="H4" s="8">
        <f t="shared" ref="H4:H31" si="1">G4/189</f>
        <v>0.983597883597884</v>
      </c>
    </row>
    <row r="5" ht="17.6" spans="2:8">
      <c r="B5" s="4">
        <v>2</v>
      </c>
      <c r="C5" s="5" t="s">
        <v>9</v>
      </c>
      <c r="D5" s="4">
        <v>26</v>
      </c>
      <c r="E5" s="4">
        <v>30</v>
      </c>
      <c r="F5" s="4">
        <v>30</v>
      </c>
      <c r="G5" s="4">
        <f t="shared" si="0"/>
        <v>176.6</v>
      </c>
      <c r="H5" s="8">
        <f t="shared" si="1"/>
        <v>0.934391534391535</v>
      </c>
    </row>
    <row r="6" ht="17.6" spans="2:8">
      <c r="B6" s="4">
        <v>3</v>
      </c>
      <c r="C6" s="5" t="s">
        <v>10</v>
      </c>
      <c r="D6" s="4">
        <v>22</v>
      </c>
      <c r="E6" s="4">
        <v>30</v>
      </c>
      <c r="F6" s="4">
        <v>30</v>
      </c>
      <c r="G6" s="4">
        <f t="shared" si="0"/>
        <v>164.2</v>
      </c>
      <c r="H6" s="8">
        <f t="shared" si="1"/>
        <v>0.868783068783069</v>
      </c>
    </row>
    <row r="7" ht="17.6" spans="2:8">
      <c r="B7" s="4">
        <v>4</v>
      </c>
      <c r="C7" s="5" t="s">
        <v>11</v>
      </c>
      <c r="D7" s="4">
        <v>21</v>
      </c>
      <c r="E7" s="4">
        <v>30</v>
      </c>
      <c r="F7" s="4">
        <v>30</v>
      </c>
      <c r="G7" s="4">
        <f>F7*1.1+E7*2.1+D7*3.1</f>
        <v>161.1</v>
      </c>
      <c r="H7" s="8">
        <f>G7/189</f>
        <v>0.852380952380952</v>
      </c>
    </row>
    <row r="8" ht="17.6" spans="2:8">
      <c r="B8" s="4">
        <v>5</v>
      </c>
      <c r="C8" s="5" t="s">
        <v>12</v>
      </c>
      <c r="D8" s="4">
        <v>21</v>
      </c>
      <c r="E8" s="4">
        <v>30</v>
      </c>
      <c r="F8" s="4">
        <v>28</v>
      </c>
      <c r="G8" s="4">
        <f>F8*1.1+E8*2.1+D8*3.1</f>
        <v>158.9</v>
      </c>
      <c r="H8" s="8">
        <f>G8/189</f>
        <v>0.840740740740741</v>
      </c>
    </row>
    <row r="9" ht="17.6" spans="2:8">
      <c r="B9" s="4">
        <v>6</v>
      </c>
      <c r="C9" s="5" t="s">
        <v>13</v>
      </c>
      <c r="D9" s="4">
        <v>22</v>
      </c>
      <c r="E9" s="4">
        <v>30</v>
      </c>
      <c r="F9" s="4">
        <v>25</v>
      </c>
      <c r="G9" s="4">
        <f>F9*1.1+E9*2.1+D9*3.1</f>
        <v>158.7</v>
      </c>
      <c r="H9" s="8">
        <f>G9/189</f>
        <v>0.83968253968254</v>
      </c>
    </row>
    <row r="10" ht="17.6" spans="2:8">
      <c r="B10" s="4">
        <v>7</v>
      </c>
      <c r="C10" s="5" t="s">
        <v>14</v>
      </c>
      <c r="D10" s="4">
        <v>19</v>
      </c>
      <c r="E10" s="4">
        <v>30</v>
      </c>
      <c r="F10" s="4">
        <v>29</v>
      </c>
      <c r="G10" s="4">
        <f>F10*1.1+E10*2.1+D10*3.1</f>
        <v>153.8</v>
      </c>
      <c r="H10" s="8">
        <f>G10/189</f>
        <v>0.813756613756614</v>
      </c>
    </row>
    <row r="11" ht="17.6" spans="2:8">
      <c r="B11" s="4">
        <v>8</v>
      </c>
      <c r="C11" s="5" t="s">
        <v>15</v>
      </c>
      <c r="D11" s="4">
        <v>20</v>
      </c>
      <c r="E11" s="4">
        <v>30</v>
      </c>
      <c r="F11" s="4">
        <v>25</v>
      </c>
      <c r="G11" s="4">
        <f t="shared" si="0"/>
        <v>152.5</v>
      </c>
      <c r="H11" s="8">
        <f t="shared" si="1"/>
        <v>0.806878306878307</v>
      </c>
    </row>
    <row r="12" ht="17.6" spans="2:8">
      <c r="B12" s="4">
        <v>9</v>
      </c>
      <c r="C12" s="5" t="s">
        <v>16</v>
      </c>
      <c r="D12" s="4">
        <v>18</v>
      </c>
      <c r="E12" s="4">
        <v>30</v>
      </c>
      <c r="F12" s="4">
        <v>27</v>
      </c>
      <c r="G12" s="4">
        <f>F12*1.1+E12*2.1+D12*3.1</f>
        <v>148.5</v>
      </c>
      <c r="H12" s="8">
        <f>G12/189</f>
        <v>0.785714285714286</v>
      </c>
    </row>
    <row r="13" ht="17.6" spans="2:8">
      <c r="B13" s="4">
        <v>10</v>
      </c>
      <c r="C13" s="5" t="s">
        <v>17</v>
      </c>
      <c r="D13" s="4">
        <v>21</v>
      </c>
      <c r="E13" s="4">
        <v>30</v>
      </c>
      <c r="F13" s="4">
        <v>18</v>
      </c>
      <c r="G13" s="4">
        <f t="shared" si="0"/>
        <v>147.9</v>
      </c>
      <c r="H13" s="8">
        <f t="shared" si="1"/>
        <v>0.782539682539683</v>
      </c>
    </row>
    <row r="14" ht="17.6" spans="2:8">
      <c r="B14" s="4">
        <v>11</v>
      </c>
      <c r="C14" s="5" t="s">
        <v>18</v>
      </c>
      <c r="D14" s="4">
        <v>18</v>
      </c>
      <c r="E14" s="4">
        <v>30</v>
      </c>
      <c r="F14" s="4">
        <v>26</v>
      </c>
      <c r="G14" s="4">
        <f>F14*1.1+E14*2.1+D14*3.1</f>
        <v>147.4</v>
      </c>
      <c r="H14" s="8">
        <f>G14/189</f>
        <v>0.77989417989418</v>
      </c>
    </row>
    <row r="15" ht="17.6" spans="2:8">
      <c r="B15" s="4">
        <v>12</v>
      </c>
      <c r="C15" s="5" t="s">
        <v>19</v>
      </c>
      <c r="D15" s="4">
        <v>19</v>
      </c>
      <c r="E15" s="4">
        <v>30</v>
      </c>
      <c r="F15" s="4">
        <v>23</v>
      </c>
      <c r="G15" s="4">
        <f t="shared" si="0"/>
        <v>147.2</v>
      </c>
      <c r="H15" s="8">
        <f t="shared" si="1"/>
        <v>0.778835978835979</v>
      </c>
    </row>
    <row r="16" ht="17.6" spans="2:8">
      <c r="B16" s="4">
        <v>13</v>
      </c>
      <c r="C16" s="5" t="s">
        <v>20</v>
      </c>
      <c r="D16" s="4">
        <v>18</v>
      </c>
      <c r="E16" s="4">
        <v>30</v>
      </c>
      <c r="F16" s="4">
        <v>25</v>
      </c>
      <c r="G16" s="4">
        <f t="shared" si="0"/>
        <v>146.3</v>
      </c>
      <c r="H16" s="8">
        <f t="shared" si="1"/>
        <v>0.774074074074074</v>
      </c>
    </row>
    <row r="17" ht="17.6" spans="2:8">
      <c r="B17" s="4">
        <v>14</v>
      </c>
      <c r="C17" s="5" t="s">
        <v>21</v>
      </c>
      <c r="D17" s="4">
        <v>18</v>
      </c>
      <c r="E17" s="4">
        <v>30</v>
      </c>
      <c r="F17" s="4">
        <v>24</v>
      </c>
      <c r="G17" s="4">
        <f>F17*1.1+E17*2.1+D17*3.1</f>
        <v>145.2</v>
      </c>
      <c r="H17" s="8">
        <f>G17/189</f>
        <v>0.768253968253968</v>
      </c>
    </row>
    <row r="18" ht="17.6" spans="2:8">
      <c r="B18" s="4">
        <v>15</v>
      </c>
      <c r="C18" s="5" t="s">
        <v>22</v>
      </c>
      <c r="D18" s="4">
        <v>22</v>
      </c>
      <c r="E18" s="4">
        <v>30</v>
      </c>
      <c r="F18" s="4">
        <v>10</v>
      </c>
      <c r="G18" s="4">
        <f>F18*1.1+E18*2.1+D18*3.1</f>
        <v>142.2</v>
      </c>
      <c r="H18" s="8">
        <f>G18/189</f>
        <v>0.752380952380952</v>
      </c>
    </row>
    <row r="19" ht="17.6" spans="2:8">
      <c r="B19" s="4">
        <v>16</v>
      </c>
      <c r="C19" s="5" t="s">
        <v>23</v>
      </c>
      <c r="D19" s="4">
        <v>18</v>
      </c>
      <c r="E19" s="4">
        <v>23</v>
      </c>
      <c r="F19" s="4">
        <v>30</v>
      </c>
      <c r="G19" s="4">
        <f t="shared" si="0"/>
        <v>137.1</v>
      </c>
      <c r="H19" s="8">
        <f t="shared" si="1"/>
        <v>0.725396825396825</v>
      </c>
    </row>
    <row r="20" ht="17.6" spans="2:8">
      <c r="B20" s="4">
        <v>17</v>
      </c>
      <c r="C20" s="5" t="s">
        <v>24</v>
      </c>
      <c r="D20" s="4">
        <v>12</v>
      </c>
      <c r="E20" s="4">
        <v>30</v>
      </c>
      <c r="F20" s="4">
        <v>27</v>
      </c>
      <c r="G20" s="4">
        <f t="shared" si="0"/>
        <v>129.9</v>
      </c>
      <c r="H20" s="8">
        <f t="shared" si="1"/>
        <v>0.687301587301587</v>
      </c>
    </row>
    <row r="21" ht="17.6" spans="2:8">
      <c r="B21" s="4">
        <v>18</v>
      </c>
      <c r="C21" s="5" t="s">
        <v>25</v>
      </c>
      <c r="D21" s="4">
        <v>16</v>
      </c>
      <c r="E21" s="4">
        <v>21</v>
      </c>
      <c r="F21" s="4">
        <v>30</v>
      </c>
      <c r="G21" s="4">
        <f t="shared" si="0"/>
        <v>126.7</v>
      </c>
      <c r="H21" s="8">
        <f t="shared" si="1"/>
        <v>0.67037037037037</v>
      </c>
    </row>
    <row r="22" ht="17.6" spans="2:8">
      <c r="B22" s="4">
        <v>19</v>
      </c>
      <c r="C22" s="5" t="s">
        <v>26</v>
      </c>
      <c r="D22" s="4">
        <v>16</v>
      </c>
      <c r="E22" s="4">
        <v>21</v>
      </c>
      <c r="F22" s="4">
        <v>29</v>
      </c>
      <c r="G22" s="4">
        <f t="shared" si="0"/>
        <v>125.6</v>
      </c>
      <c r="H22" s="8">
        <f t="shared" si="1"/>
        <v>0.664550264550265</v>
      </c>
    </row>
    <row r="23" ht="17.6" spans="2:8">
      <c r="B23" s="4">
        <v>20</v>
      </c>
      <c r="C23" s="5" t="s">
        <v>27</v>
      </c>
      <c r="D23" s="4">
        <v>13</v>
      </c>
      <c r="E23" s="4">
        <v>23</v>
      </c>
      <c r="F23" s="4">
        <v>30</v>
      </c>
      <c r="G23" s="4">
        <f>F23*1.1+E23*2.1+D23*3.1</f>
        <v>121.6</v>
      </c>
      <c r="H23" s="8">
        <f>G23/189</f>
        <v>0.643386243386244</v>
      </c>
    </row>
    <row r="24" ht="17.6" spans="2:8">
      <c r="B24" s="4">
        <v>21</v>
      </c>
      <c r="C24" s="5" t="s">
        <v>28</v>
      </c>
      <c r="D24" s="4">
        <v>14</v>
      </c>
      <c r="E24" s="4">
        <v>30</v>
      </c>
      <c r="F24" s="4">
        <v>13</v>
      </c>
      <c r="G24" s="4">
        <f>F24*1.1+E24*2.1+D24*3.1</f>
        <v>120.7</v>
      </c>
      <c r="H24" s="8">
        <f>G24/189</f>
        <v>0.638624338624339</v>
      </c>
    </row>
    <row r="25" ht="17.6" spans="2:8">
      <c r="B25" s="4">
        <v>22</v>
      </c>
      <c r="C25" s="5" t="s">
        <v>29</v>
      </c>
      <c r="D25" s="4">
        <v>16</v>
      </c>
      <c r="E25" s="4">
        <v>30</v>
      </c>
      <c r="F25" s="4">
        <v>7</v>
      </c>
      <c r="G25" s="4">
        <f>F25*1.1+E25*2.1+D25*3.1</f>
        <v>120.3</v>
      </c>
      <c r="H25" s="8">
        <f>G25/189</f>
        <v>0.636507936507937</v>
      </c>
    </row>
    <row r="26" ht="17.6" spans="2:8">
      <c r="B26" s="4">
        <v>23</v>
      </c>
      <c r="C26" s="5" t="s">
        <v>30</v>
      </c>
      <c r="D26" s="4">
        <v>17</v>
      </c>
      <c r="E26" s="4">
        <v>15</v>
      </c>
      <c r="F26" s="4">
        <v>13</v>
      </c>
      <c r="G26" s="4">
        <f t="shared" si="0"/>
        <v>98.5</v>
      </c>
      <c r="H26" s="8">
        <f t="shared" si="1"/>
        <v>0.521164021164021</v>
      </c>
    </row>
    <row r="27" ht="17.6" spans="2:8">
      <c r="B27" s="4">
        <v>24</v>
      </c>
      <c r="C27" s="5" t="s">
        <v>31</v>
      </c>
      <c r="D27" s="4">
        <v>15</v>
      </c>
      <c r="E27" s="4">
        <v>18</v>
      </c>
      <c r="F27" s="4">
        <v>8</v>
      </c>
      <c r="G27" s="4">
        <f t="shared" si="0"/>
        <v>93.1</v>
      </c>
      <c r="H27" s="8">
        <f t="shared" si="1"/>
        <v>0.492592592592593</v>
      </c>
    </row>
    <row r="28" ht="17.6" spans="2:8">
      <c r="B28" s="4">
        <v>25</v>
      </c>
      <c r="C28" s="5" t="s">
        <v>32</v>
      </c>
      <c r="D28" s="4"/>
      <c r="E28" s="4"/>
      <c r="F28" s="4"/>
      <c r="G28" s="4">
        <f t="shared" si="0"/>
        <v>0</v>
      </c>
      <c r="H28" s="8">
        <f t="shared" si="1"/>
        <v>0</v>
      </c>
    </row>
    <row r="29" ht="17.6" spans="2:8">
      <c r="B29" s="4">
        <v>26</v>
      </c>
      <c r="C29" s="5" t="s">
        <v>33</v>
      </c>
      <c r="D29" s="4"/>
      <c r="E29" s="4"/>
      <c r="F29" s="4"/>
      <c r="G29" s="4">
        <f t="shared" si="0"/>
        <v>0</v>
      </c>
      <c r="H29" s="8">
        <f t="shared" si="1"/>
        <v>0</v>
      </c>
    </row>
    <row r="30" ht="17.6" spans="2:8">
      <c r="B30" s="4">
        <v>27</v>
      </c>
      <c r="C30" s="5" t="s">
        <v>34</v>
      </c>
      <c r="D30" s="4"/>
      <c r="E30" s="4"/>
      <c r="F30" s="4"/>
      <c r="G30" s="4">
        <f t="shared" si="0"/>
        <v>0</v>
      </c>
      <c r="H30" s="8">
        <f t="shared" si="1"/>
        <v>0</v>
      </c>
    </row>
    <row r="31" ht="17.6" spans="2:8">
      <c r="B31" s="4">
        <v>28</v>
      </c>
      <c r="C31" s="5" t="s">
        <v>35</v>
      </c>
      <c r="D31" s="4"/>
      <c r="E31" s="4"/>
      <c r="F31" s="4"/>
      <c r="G31" s="4">
        <f t="shared" si="0"/>
        <v>0</v>
      </c>
      <c r="H31" s="8">
        <f t="shared" si="1"/>
        <v>0</v>
      </c>
    </row>
    <row r="32" ht="17.6" spans="2:8">
      <c r="B32" s="4"/>
      <c r="C32" s="5"/>
      <c r="D32" s="4"/>
      <c r="E32" s="4"/>
      <c r="F32" s="4"/>
      <c r="G32" s="4"/>
      <c r="H32" s="8"/>
    </row>
    <row r="33" ht="17.6" spans="2:8">
      <c r="B33" s="4"/>
      <c r="C33" s="5"/>
      <c r="D33" s="4"/>
      <c r="E33" s="4"/>
      <c r="F33" s="4"/>
      <c r="G33" s="4"/>
      <c r="H33" s="8"/>
    </row>
    <row r="34" ht="17.6" spans="2:8">
      <c r="B34" s="4"/>
      <c r="C34" s="6"/>
      <c r="D34" s="6"/>
      <c r="E34" s="6"/>
      <c r="F34" s="6"/>
      <c r="G34" s="4"/>
      <c r="H34" s="8"/>
    </row>
  </sheetData>
  <sortState ref="C4:H31">
    <sortCondition ref="G4:G31" descending="1"/>
  </sortState>
  <mergeCells count="1">
    <mergeCell ref="B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 Yuridik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nabijontukhtaev</dc:creator>
  <cp:lastModifiedBy>TukhtaevNabijon</cp:lastModifiedBy>
  <dcterms:created xsi:type="dcterms:W3CDTF">2025-11-01T17:27:00Z</dcterms:created>
  <dcterms:modified xsi:type="dcterms:W3CDTF">2026-03-02T13:14:03Z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FB03B7BC1E50E3EE3B9D046936B12D1C_41</vt:lpwstr>
  </property>
  <property fmtid="{D5CDD505-2E9C-101B-9397-08002B2CF9AE}" pid="3" name="KSOProductBuildVer">
    <vt:lpwstr>1033-12.1.23155.23155</vt:lpwstr>
  </property>
</Properties>
</file>