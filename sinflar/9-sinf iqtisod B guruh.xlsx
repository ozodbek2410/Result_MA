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mart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<sst xmlns="http://schemas.openxmlformats.org/spreadsheetml/2006/main" count="39" uniqueCount="39">
  <si>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Iqtisod 9- sinf B guruh  Matematika</t>
  </si>
  <si>
    <t>T/R</t>
  </si>
  <si>
    <t>F.I.SH</t>
  </si>
  <si>
    <t>Foiz</t>
  </si>
  <si>
    <t>Ulug'jonov Alisherbek</t>
  </si>
  <si>
    <t>Amonov Nuriddinali</t>
  </si>
  <si>
    <t>Norchayev Shuhrat</t>
  </si>
  <si>
    <t>Shavkatov Muhammad</t>
  </si>
  <si>
    <t>Baxshilloyev Asilbek</t>
  </si>
  <si>
    <t>Mehriddinov Zuhriddin</t>
  </si>
  <si>
    <t>Inoyatov Asadbek</t>
  </si>
  <si>
    <t>Nasimov Ibrohim</t>
  </si>
  <si>
    <t>O`ktamov Ruslan</t>
  </si>
  <si>
    <t>Sadirov Ulug'bek</t>
  </si>
  <si>
    <t xml:space="preserve">Sharipov Shaxriyor </t>
  </si>
  <si>
    <t>Odilov Burhonniddin</t>
  </si>
  <si>
    <t>Malikova Shabnam</t>
  </si>
  <si>
    <t>Sadullayev Sohib</t>
  </si>
  <si>
    <t>Sayfullayeva Tabassum</t>
  </si>
  <si>
    <t>Kamolov Behruz</t>
  </si>
  <si>
    <t>Toshniyozov Elnurbek</t>
  </si>
  <si>
    <t>Ibragimov Alibek</t>
  </si>
  <si>
    <t>Shavkatov Shavkatjon</t>
  </si>
  <si>
    <t>Amonov Mirshod</t>
  </si>
  <si>
    <t>G`ulomov Javohir</t>
  </si>
  <si>
    <t>Raxmonkulov Ruslan</t>
  </si>
  <si>
    <t xml:space="preserve">Zayniyev Shahzodbek </t>
  </si>
  <si>
    <t>Zarifova Xonzoda</t>
  </si>
  <si>
    <t>Aminova Sevinch</t>
  </si>
  <si>
    <t>Sirojiddinov Temur</t>
  </si>
  <si>
    <t>Murodullayeva Sevinch</t>
  </si>
  <si>
    <t>Muhiddinov Abdurahmon</t>
  </si>
  <si>
    <t>Rahimov Adham</t>
  </si>
  <si>
    <t>Jo'raqulov Javhar</t>
  </si>
  <si>
    <t>Baxshullayeva Sevinch</t>
  </si>
  <si>
    <t>Abdurahimov Abdukarim</t>
  </si>
  <si>
    <t>Mannopov Muhammadaziz</t>
  </si>
  <si>
    <t xml:space="preserve">Mustafoyev Daler </t>
  </si>
  <si>
    <t>Karimova Asal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</si>
</sst>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4"/>
      <name val="Calibri"/>
      <charset val="134"/>
      <scheme val="minor"/>
    </font>
    <font>
      <sz val="14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9"/>
  <sheetViews>
    <sheetView tabSelected="1" topLeftCell="A17" workbookViewId="0">
      <selection activeCell="B37" sqref="B37"/>
    </sheetView>
  </sheetViews>
  <sheetFormatPr defaultColWidth="9" defaultRowHeight="14.4"/>
  <cols>
    <col min="1" max="1" width="4.42592592592593" style="3" customWidth="1"/>
    <col min="2" max="2" width="33.1388888888889" style="4" customWidth="1"/>
    <col min="3" max="3" width="9.57407407407407" style="4" customWidth="1"/>
    <col min="4" max="11" width="9.42592592592593" style="4" customWidth="1"/>
    <col min="12" max="12" width="12.287037037037" style="3" customWidth="1"/>
    <col min="13" max="16384" width="9.13888888888889" style="4"/>
  </cols>
  <sheetData>
    <row r="1" ht="18" spans="1:1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="1" customFormat="1" ht="25.8" spans="1:12">
      <c r="A2" s="5" t="s">
        <v>1</v>
      </c>
      <c r="B2" s="5" t="s">
        <v>2</v>
      </c>
      <c r="C2" s="5">
        <v>30</v>
      </c>
      <c r="D2" s="5">
        <v>30</v>
      </c>
      <c r="E2" s="5"/>
      <c r="F2" s="5"/>
      <c r="G2" s="5"/>
      <c r="H2" s="5"/>
      <c r="I2" s="5"/>
      <c r="J2" s="5"/>
      <c r="K2" s="5">
        <f t="shared" ref="K2" si="0">C2+D2+E2+F2+G2+H2+I2+J2</f>
        <v>60</v>
      </c>
      <c r="L2" s="5" t="s">
        <v>3</v>
      </c>
    </row>
    <row r="3" ht="18" spans="1:12">
      <c r="A3" s="5">
        <v>1</v>
      </c>
      <c r="B3" s="6" t="s">
        <v>4</v>
      </c>
      <c r="C3" s="6">
        <v>26</v>
      </c>
      <c r="D3" s="6">
        <v>29</v>
      </c>
      <c r="E3" s="6"/>
      <c r="F3" s="6"/>
      <c r="G3" s="6"/>
      <c r="H3" s="6"/>
      <c r="I3" s="6"/>
      <c r="J3" s="6"/>
      <c r="K3" s="5">
        <f t="shared" ref="K3:K38" si="1">C3+D3+E3+F3+G3+H3+I3+J3</f>
        <v>55</v>
      </c>
      <c r="L3" s="12">
        <f t="shared" ref="L3:L38" si="2">K3/60</f>
        <v>0.916666666666667</v>
      </c>
    </row>
    <row r="4" ht="18" spans="1:12">
      <c r="A4" s="5">
        <v>2</v>
      </c>
      <c r="B4" s="6" t="s">
        <v>5</v>
      </c>
      <c r="C4" s="6">
        <v>25</v>
      </c>
      <c r="D4" s="6">
        <v>29</v>
      </c>
      <c r="E4" s="6"/>
      <c r="F4" s="6"/>
      <c r="G4" s="6"/>
      <c r="H4" s="6"/>
      <c r="I4" s="6"/>
      <c r="J4" s="6"/>
      <c r="K4" s="5">
        <f t="shared" si="1"/>
        <v>54</v>
      </c>
      <c r="L4" s="12">
        <f t="shared" si="2"/>
        <v>0.9</v>
      </c>
    </row>
    <row r="5" ht="18" spans="1:12">
      <c r="A5" s="5">
        <v>3</v>
      </c>
      <c r="B5" s="6" t="s">
        <v>6</v>
      </c>
      <c r="C5" s="6">
        <v>26</v>
      </c>
      <c r="D5" s="6">
        <v>27</v>
      </c>
      <c r="E5" s="6"/>
      <c r="F5" s="6"/>
      <c r="G5" s="6"/>
      <c r="H5" s="6"/>
      <c r="I5" s="6"/>
      <c r="J5" s="6"/>
      <c r="K5" s="5">
        <f t="shared" si="1"/>
        <v>53</v>
      </c>
      <c r="L5" s="12">
        <f t="shared" si="2"/>
        <v>0.883333333333333</v>
      </c>
    </row>
    <row r="6" ht="18" spans="1:12">
      <c r="A6" s="5">
        <v>4</v>
      </c>
      <c r="B6" s="6" t="s">
        <v>7</v>
      </c>
      <c r="C6" s="6">
        <v>26</v>
      </c>
      <c r="D6" s="6">
        <v>27</v>
      </c>
      <c r="E6" s="6"/>
      <c r="F6" s="6"/>
      <c r="G6" s="6"/>
      <c r="H6" s="6"/>
      <c r="I6" s="6"/>
      <c r="J6" s="6"/>
      <c r="K6" s="5">
        <f t="shared" si="1"/>
        <v>53</v>
      </c>
      <c r="L6" s="12">
        <f t="shared" si="2"/>
        <v>0.883333333333333</v>
      </c>
    </row>
    <row r="7" ht="18" spans="1:12">
      <c r="A7" s="5">
        <v>5</v>
      </c>
      <c r="B7" s="6" t="s">
        <v>8</v>
      </c>
      <c r="C7" s="6">
        <v>27</v>
      </c>
      <c r="D7" s="6">
        <v>25</v>
      </c>
      <c r="E7" s="6"/>
      <c r="F7" s="6"/>
      <c r="G7" s="6"/>
      <c r="H7" s="6"/>
      <c r="I7" s="6"/>
      <c r="J7" s="6"/>
      <c r="K7" s="5">
        <f t="shared" si="1"/>
        <v>52</v>
      </c>
      <c r="L7" s="12">
        <f t="shared" si="2"/>
        <v>0.866666666666667</v>
      </c>
    </row>
    <row r="8" ht="18" spans="1:12">
      <c r="A8" s="5">
        <v>6</v>
      </c>
      <c r="B8" s="7" t="s">
        <v>9</v>
      </c>
      <c r="C8" s="7">
        <v>24</v>
      </c>
      <c r="D8" s="7">
        <v>26</v>
      </c>
      <c r="E8" s="7"/>
      <c r="F8" s="7"/>
      <c r="G8" s="7"/>
      <c r="H8" s="7"/>
      <c r="I8" s="7"/>
      <c r="J8" s="7"/>
      <c r="K8" s="5">
        <f t="shared" si="1"/>
        <v>50</v>
      </c>
      <c r="L8" s="12">
        <f t="shared" si="2"/>
        <v>0.833333333333333</v>
      </c>
    </row>
    <row r="9" ht="18" spans="1:12">
      <c r="A9" s="5">
        <v>7</v>
      </c>
      <c r="B9" s="7" t="s">
        <v>10</v>
      </c>
      <c r="C9" s="7">
        <v>24</v>
      </c>
      <c r="D9" s="7">
        <v>26</v>
      </c>
      <c r="E9" s="7"/>
      <c r="F9" s="7"/>
      <c r="G9" s="7"/>
      <c r="H9" s="7"/>
      <c r="I9" s="7"/>
      <c r="J9" s="7"/>
      <c r="K9" s="5">
        <f t="shared" si="1"/>
        <v>50</v>
      </c>
      <c r="L9" s="12">
        <f t="shared" si="2"/>
        <v>0.833333333333333</v>
      </c>
    </row>
    <row r="10" ht="18" spans="1:12">
      <c r="A10" s="5">
        <v>8</v>
      </c>
      <c r="B10" s="7" t="s">
        <v>11</v>
      </c>
      <c r="C10" s="7">
        <v>23</v>
      </c>
      <c r="D10" s="7">
        <v>26</v>
      </c>
      <c r="E10" s="7"/>
      <c r="F10" s="7"/>
      <c r="G10" s="7"/>
      <c r="H10" s="7"/>
      <c r="I10" s="7"/>
      <c r="J10" s="7"/>
      <c r="K10" s="5">
        <f t="shared" si="1"/>
        <v>49</v>
      </c>
      <c r="L10" s="12">
        <f t="shared" si="2"/>
        <v>0.816666666666667</v>
      </c>
    </row>
    <row r="11" ht="18" spans="1:12">
      <c r="A11" s="5">
        <v>9</v>
      </c>
      <c r="B11" s="7" t="s">
        <v>12</v>
      </c>
      <c r="C11" s="7">
        <v>21</v>
      </c>
      <c r="D11" s="7">
        <v>28</v>
      </c>
      <c r="E11" s="7"/>
      <c r="F11" s="7"/>
      <c r="G11" s="7"/>
      <c r="H11" s="7"/>
      <c r="I11" s="7"/>
      <c r="J11" s="7"/>
      <c r="K11" s="5">
        <f t="shared" si="1"/>
        <v>49</v>
      </c>
      <c r="L11" s="12">
        <f t="shared" si="2"/>
        <v>0.816666666666667</v>
      </c>
    </row>
    <row r="12" ht="18" spans="1:12">
      <c r="A12" s="5">
        <v>10</v>
      </c>
      <c r="B12" s="7" t="s">
        <v>13</v>
      </c>
      <c r="C12" s="7">
        <v>22</v>
      </c>
      <c r="D12" s="7">
        <v>27</v>
      </c>
      <c r="E12" s="7"/>
      <c r="F12" s="7"/>
      <c r="G12" s="7"/>
      <c r="H12" s="7"/>
      <c r="I12" s="7"/>
      <c r="J12" s="7"/>
      <c r="K12" s="5">
        <f t="shared" si="1"/>
        <v>49</v>
      </c>
      <c r="L12" s="12">
        <f t="shared" si="2"/>
        <v>0.816666666666667</v>
      </c>
    </row>
    <row r="13" ht="18" spans="1:12">
      <c r="A13" s="5">
        <v>11</v>
      </c>
      <c r="B13" s="7" t="s">
        <v>14</v>
      </c>
      <c r="C13" s="7">
        <v>21</v>
      </c>
      <c r="D13" s="7">
        <v>28</v>
      </c>
      <c r="E13" s="7"/>
      <c r="F13" s="7"/>
      <c r="G13" s="7"/>
      <c r="H13" s="7"/>
      <c r="I13" s="7"/>
      <c r="J13" s="7"/>
      <c r="K13" s="5">
        <f t="shared" si="1"/>
        <v>49</v>
      </c>
      <c r="L13" s="12">
        <f t="shared" si="2"/>
        <v>0.816666666666667</v>
      </c>
    </row>
    <row r="14" ht="18" spans="1:12">
      <c r="A14" s="5">
        <v>12</v>
      </c>
      <c r="B14" s="7" t="s">
        <v>15</v>
      </c>
      <c r="C14" s="7">
        <v>24</v>
      </c>
      <c r="D14" s="7">
        <v>25</v>
      </c>
      <c r="E14" s="7"/>
      <c r="F14" s="7"/>
      <c r="G14" s="7"/>
      <c r="H14" s="7"/>
      <c r="I14" s="7"/>
      <c r="J14" s="7"/>
      <c r="K14" s="5">
        <f t="shared" si="1"/>
        <v>49</v>
      </c>
      <c r="L14" s="12">
        <f t="shared" si="2"/>
        <v>0.816666666666667</v>
      </c>
    </row>
    <row r="15" ht="18" spans="1:12">
      <c r="A15" s="5">
        <v>13</v>
      </c>
      <c r="B15" s="7" t="s">
        <v>16</v>
      </c>
      <c r="C15" s="7">
        <v>22</v>
      </c>
      <c r="D15" s="7">
        <v>27</v>
      </c>
      <c r="E15" s="7"/>
      <c r="F15" s="7"/>
      <c r="G15" s="7"/>
      <c r="H15" s="7"/>
      <c r="I15" s="7"/>
      <c r="J15" s="7"/>
      <c r="K15" s="5">
        <f t="shared" si="1"/>
        <v>49</v>
      </c>
      <c r="L15" s="12">
        <f t="shared" si="2"/>
        <v>0.816666666666667</v>
      </c>
    </row>
    <row r="16" ht="18" spans="1:12">
      <c r="A16" s="5">
        <v>14</v>
      </c>
      <c r="B16" s="7" t="s">
        <v>17</v>
      </c>
      <c r="C16" s="7">
        <v>23</v>
      </c>
      <c r="D16" s="7">
        <v>26</v>
      </c>
      <c r="E16" s="7"/>
      <c r="F16" s="7"/>
      <c r="G16" s="7"/>
      <c r="H16" s="7"/>
      <c r="I16" s="7"/>
      <c r="J16" s="7"/>
      <c r="K16" s="5">
        <f t="shared" si="1"/>
        <v>49</v>
      </c>
      <c r="L16" s="12">
        <f t="shared" si="2"/>
        <v>0.816666666666667</v>
      </c>
    </row>
    <row r="17" ht="18" spans="1:12">
      <c r="A17" s="5">
        <v>15</v>
      </c>
      <c r="B17" s="7" t="s">
        <v>18</v>
      </c>
      <c r="C17" s="7">
        <v>22</v>
      </c>
      <c r="D17" s="7">
        <v>26</v>
      </c>
      <c r="E17" s="7"/>
      <c r="F17" s="7"/>
      <c r="G17" s="7"/>
      <c r="H17" s="7"/>
      <c r="I17" s="7"/>
      <c r="J17" s="7"/>
      <c r="K17" s="5">
        <f t="shared" si="1"/>
        <v>48</v>
      </c>
      <c r="L17" s="12">
        <f t="shared" si="2"/>
        <v>0.8</v>
      </c>
    </row>
    <row r="18" ht="18" spans="1:12">
      <c r="A18" s="5">
        <v>16</v>
      </c>
      <c r="B18" s="7" t="s">
        <v>19</v>
      </c>
      <c r="C18" s="7">
        <v>24</v>
      </c>
      <c r="D18" s="7">
        <v>24</v>
      </c>
      <c r="E18" s="7"/>
      <c r="F18" s="7"/>
      <c r="G18" s="7"/>
      <c r="H18" s="7"/>
      <c r="I18" s="7"/>
      <c r="J18" s="7"/>
      <c r="K18" s="5">
        <f t="shared" si="1"/>
        <v>48</v>
      </c>
      <c r="L18" s="12">
        <f t="shared" si="2"/>
        <v>0.8</v>
      </c>
    </row>
    <row r="19" ht="18" spans="1:12">
      <c r="A19" s="5">
        <v>17</v>
      </c>
      <c r="B19" s="7" t="s">
        <v>20</v>
      </c>
      <c r="C19" s="7">
        <v>23</v>
      </c>
      <c r="D19" s="7">
        <v>25</v>
      </c>
      <c r="E19" s="7"/>
      <c r="F19" s="7"/>
      <c r="G19" s="7"/>
      <c r="H19" s="7"/>
      <c r="I19" s="7"/>
      <c r="J19" s="7"/>
      <c r="K19" s="5">
        <f t="shared" si="1"/>
        <v>48</v>
      </c>
      <c r="L19" s="12">
        <f t="shared" si="2"/>
        <v>0.8</v>
      </c>
    </row>
    <row r="20" ht="18" spans="1:12">
      <c r="A20" s="5">
        <v>18</v>
      </c>
      <c r="B20" s="7" t="s">
        <v>21</v>
      </c>
      <c r="C20" s="7">
        <v>21</v>
      </c>
      <c r="D20" s="7">
        <v>26</v>
      </c>
      <c r="E20" s="7"/>
      <c r="F20" s="7"/>
      <c r="G20" s="7"/>
      <c r="H20" s="7"/>
      <c r="I20" s="7"/>
      <c r="J20" s="7"/>
      <c r="K20" s="5">
        <f t="shared" si="1"/>
        <v>47</v>
      </c>
      <c r="L20" s="12">
        <f t="shared" si="2"/>
        <v>0.783333333333333</v>
      </c>
    </row>
    <row r="21" ht="18" spans="1:12">
      <c r="A21" s="5">
        <v>19</v>
      </c>
      <c r="B21" s="7" t="s">
        <v>22</v>
      </c>
      <c r="C21" s="7">
        <v>20</v>
      </c>
      <c r="D21" s="7">
        <v>26</v>
      </c>
      <c r="E21" s="7"/>
      <c r="F21" s="7"/>
      <c r="G21" s="7"/>
      <c r="H21" s="7"/>
      <c r="I21" s="7"/>
      <c r="J21" s="7"/>
      <c r="K21" s="5">
        <f t="shared" si="1"/>
        <v>46</v>
      </c>
      <c r="L21" s="12">
        <f t="shared" si="2"/>
        <v>0.766666666666667</v>
      </c>
    </row>
    <row r="22" ht="18" spans="1:12">
      <c r="A22" s="5">
        <v>20</v>
      </c>
      <c r="B22" s="7" t="s">
        <v>23</v>
      </c>
      <c r="C22" s="7">
        <v>22</v>
      </c>
      <c r="D22" s="7">
        <v>24</v>
      </c>
      <c r="E22" s="7"/>
      <c r="F22" s="7"/>
      <c r="G22" s="7"/>
      <c r="H22" s="7"/>
      <c r="I22" s="7"/>
      <c r="J22" s="7"/>
      <c r="K22" s="5">
        <f t="shared" si="1"/>
        <v>46</v>
      </c>
      <c r="L22" s="12">
        <f t="shared" si="2"/>
        <v>0.766666666666667</v>
      </c>
    </row>
    <row r="23" s="2" customFormat="1" ht="18" spans="1:12">
      <c r="A23" s="5">
        <v>21</v>
      </c>
      <c r="B23" s="7" t="s">
        <v>24</v>
      </c>
      <c r="C23" s="7">
        <v>18</v>
      </c>
      <c r="D23" s="7">
        <v>26</v>
      </c>
      <c r="E23" s="7"/>
      <c r="F23" s="7"/>
      <c r="G23" s="7"/>
      <c r="H23" s="7"/>
      <c r="I23" s="7"/>
      <c r="J23" s="7"/>
      <c r="K23" s="5">
        <f>C23+D23+E23+F23+G23+H23+I23+J23</f>
        <v>44</v>
      </c>
      <c r="L23" s="12">
        <f>K23/60</f>
        <v>0.733333333333333</v>
      </c>
    </row>
    <row r="24" ht="18" spans="1:12">
      <c r="A24" s="5">
        <v>22</v>
      </c>
      <c r="B24" s="7" t="s">
        <v>25</v>
      </c>
      <c r="C24" s="7">
        <v>20</v>
      </c>
      <c r="D24" s="7">
        <v>24</v>
      </c>
      <c r="E24" s="7"/>
      <c r="F24" s="7"/>
      <c r="G24" s="7"/>
      <c r="H24" s="7"/>
      <c r="I24" s="7"/>
      <c r="J24" s="7"/>
      <c r="K24" s="5">
        <f>C24+D24+E24+F24+G24+H24+I24+J24</f>
        <v>44</v>
      </c>
      <c r="L24" s="12">
        <f>K24/60</f>
        <v>0.733333333333333</v>
      </c>
    </row>
    <row r="25" ht="18" spans="1:12">
      <c r="A25" s="5">
        <v>23</v>
      </c>
      <c r="B25" s="8" t="s">
        <v>26</v>
      </c>
      <c r="C25" s="8">
        <v>17</v>
      </c>
      <c r="D25" s="8">
        <v>25</v>
      </c>
      <c r="E25" s="8"/>
      <c r="F25" s="8"/>
      <c r="G25" s="8"/>
      <c r="H25" s="8"/>
      <c r="I25" s="8"/>
      <c r="J25" s="8"/>
      <c r="K25" s="5">
        <f>C25+D25+E25+F25+G25+H25+I25+J25</f>
        <v>42</v>
      </c>
      <c r="L25" s="12">
        <f>K25/60</f>
        <v>0.7</v>
      </c>
    </row>
    <row r="26" ht="18" spans="1:12">
      <c r="A26" s="5">
        <v>24</v>
      </c>
      <c r="B26" s="8" t="s">
        <v>27</v>
      </c>
      <c r="C26" s="8">
        <v>18</v>
      </c>
      <c r="D26" s="8">
        <v>23</v>
      </c>
      <c r="E26" s="8"/>
      <c r="F26" s="8"/>
      <c r="G26" s="8"/>
      <c r="H26" s="8"/>
      <c r="I26" s="8"/>
      <c r="J26" s="8"/>
      <c r="K26" s="5">
        <f>C26+D26+E26+F26+G26+H26+I26+J26</f>
        <v>41</v>
      </c>
      <c r="L26" s="12">
        <f>K26/60</f>
        <v>0.683333333333333</v>
      </c>
    </row>
    <row r="27" ht="18" spans="1:12">
      <c r="A27" s="5">
        <v>25</v>
      </c>
      <c r="B27" s="8" t="s">
        <v>28</v>
      </c>
      <c r="C27" s="8">
        <v>18</v>
      </c>
      <c r="D27" s="8">
        <v>23</v>
      </c>
      <c r="E27" s="8"/>
      <c r="F27" s="8"/>
      <c r="G27" s="8"/>
      <c r="H27" s="8"/>
      <c r="I27" s="8"/>
      <c r="J27" s="8"/>
      <c r="K27" s="5">
        <f>C27+D27+E27+F27+G27+H27+I27+J27</f>
        <v>41</v>
      </c>
      <c r="L27" s="12">
        <f>K27/60</f>
        <v>0.683333333333333</v>
      </c>
    </row>
    <row r="28" ht="18" spans="1:12">
      <c r="A28" s="5">
        <v>26</v>
      </c>
      <c r="B28" s="8" t="s">
        <v>29</v>
      </c>
      <c r="C28" s="8">
        <v>17</v>
      </c>
      <c r="D28" s="8">
        <v>23</v>
      </c>
      <c r="E28" s="8"/>
      <c r="F28" s="8"/>
      <c r="G28" s="8"/>
      <c r="H28" s="8"/>
      <c r="I28" s="8"/>
      <c r="J28" s="8"/>
      <c r="K28" s="5">
        <f>C28+D28+E28+F28+G28+H28+I28+J28</f>
        <v>40</v>
      </c>
      <c r="L28" s="12">
        <f>K28/60</f>
        <v>0.666666666666667</v>
      </c>
    </row>
    <row r="29" ht="18" spans="1:12">
      <c r="A29" s="5">
        <v>27</v>
      </c>
      <c r="B29" s="8" t="s">
        <v>30</v>
      </c>
      <c r="C29" s="8">
        <v>15</v>
      </c>
      <c r="D29" s="8">
        <v>25</v>
      </c>
      <c r="E29" s="8"/>
      <c r="F29" s="8"/>
      <c r="G29" s="8"/>
      <c r="H29" s="8"/>
      <c r="I29" s="8"/>
      <c r="J29" s="8"/>
      <c r="K29" s="5">
        <f>C29+D29+E29+F29+G29+H29+I29+J29</f>
        <v>40</v>
      </c>
      <c r="L29" s="12">
        <f>K29/60</f>
        <v>0.666666666666667</v>
      </c>
    </row>
    <row r="30" ht="18" spans="1:12">
      <c r="A30" s="5">
        <v>28</v>
      </c>
      <c r="B30" s="8" t="s">
        <v>31</v>
      </c>
      <c r="C30" s="8">
        <v>17</v>
      </c>
      <c r="D30" s="8">
        <v>21</v>
      </c>
      <c r="E30" s="8"/>
      <c r="F30" s="8"/>
      <c r="G30" s="8"/>
      <c r="H30" s="8"/>
      <c r="I30" s="8"/>
      <c r="J30" s="8"/>
      <c r="K30" s="5">
        <f>C30+D30+E30+F30+G30+H30+I30+J30</f>
        <v>38</v>
      </c>
      <c r="L30" s="12">
        <f>K30/60</f>
        <v>0.633333333333333</v>
      </c>
    </row>
    <row r="31" ht="18" spans="1:12">
      <c r="A31" s="5">
        <v>29</v>
      </c>
      <c r="B31" s="8" t="s">
        <v>32</v>
      </c>
      <c r="C31" s="8">
        <v>22</v>
      </c>
      <c r="D31" s="8">
        <v>16</v>
      </c>
      <c r="E31" s="8"/>
      <c r="F31" s="8"/>
      <c r="G31" s="8"/>
      <c r="H31" s="8"/>
      <c r="I31" s="8"/>
      <c r="J31" s="8"/>
      <c r="K31" s="5">
        <f>C31+D31+E31+F31+G31+H31+I31+J31</f>
        <v>38</v>
      </c>
      <c r="L31" s="12">
        <f>K31/60</f>
        <v>0.633333333333333</v>
      </c>
    </row>
    <row r="32" ht="18" spans="1:12">
      <c r="A32" s="5">
        <v>30</v>
      </c>
      <c r="B32" s="8" t="s">
        <v>33</v>
      </c>
      <c r="C32" s="8">
        <v>12</v>
      </c>
      <c r="D32" s="8">
        <v>22</v>
      </c>
      <c r="E32" s="8"/>
      <c r="F32" s="8"/>
      <c r="G32" s="8"/>
      <c r="H32" s="8"/>
      <c r="I32" s="8"/>
      <c r="J32" s="8"/>
      <c r="K32" s="5">
        <f>C32+D32+E32+F32+G32+H32+I32+J32</f>
        <v>34</v>
      </c>
      <c r="L32" s="12">
        <f>K32/60</f>
        <v>0.566666666666667</v>
      </c>
    </row>
    <row r="33" ht="18" spans="1:12">
      <c r="A33" s="5">
        <v>31</v>
      </c>
      <c r="B33" s="8" t="s">
        <v>34</v>
      </c>
      <c r="C33" s="8">
        <v>13</v>
      </c>
      <c r="D33" s="8">
        <v>21</v>
      </c>
      <c r="E33" s="8"/>
      <c r="F33" s="8"/>
      <c r="G33" s="8"/>
      <c r="H33" s="8"/>
      <c r="I33" s="8"/>
      <c r="J33" s="8"/>
      <c r="K33" s="5">
        <f>C33+D33+E33+F33+G33+H33+I33+J33</f>
        <v>34</v>
      </c>
      <c r="L33" s="12">
        <f>K33/60</f>
        <v>0.566666666666667</v>
      </c>
    </row>
    <row r="34" ht="18" spans="1:12">
      <c r="A34" s="5">
        <v>32</v>
      </c>
      <c r="B34" s="9" t="s">
        <v>35</v>
      </c>
      <c r="C34" s="9">
        <v>10</v>
      </c>
      <c r="D34" s="9">
        <v>19</v>
      </c>
      <c r="E34" s="9"/>
      <c r="F34" s="9"/>
      <c r="G34" s="9"/>
      <c r="H34" s="9"/>
      <c r="I34" s="9"/>
      <c r="J34" s="9"/>
      <c r="K34" s="5">
        <f>C34+D34+E34+F34+G34+H34+I34+J34</f>
        <v>29</v>
      </c>
      <c r="L34" s="12">
        <f>K34/60</f>
        <v>0.483333333333333</v>
      </c>
    </row>
    <row r="35" ht="18" spans="1:12">
      <c r="A35" s="5">
        <v>33</v>
      </c>
      <c r="B35" s="10" t="s">
        <v>36</v>
      </c>
      <c r="C35" s="9">
        <v>0</v>
      </c>
      <c r="D35" s="9">
        <v>0</v>
      </c>
      <c r="E35" s="9"/>
      <c r="F35" s="9"/>
      <c r="G35" s="9"/>
      <c r="H35" s="9"/>
      <c r="I35" s="9"/>
      <c r="J35" s="9"/>
      <c r="K35" s="5">
        <f>C35+D35+E35+F35+G35+H35+I35+J35</f>
        <v>0</v>
      </c>
      <c r="L35" s="12">
        <f>K35/60</f>
        <v>0</v>
      </c>
    </row>
    <row r="36" ht="18" spans="1:12">
      <c r="A36" s="5">
        <v>34</v>
      </c>
      <c r="B36" s="9" t="s">
        <v>37</v>
      </c>
      <c r="C36" s="9">
        <v>0</v>
      </c>
      <c r="D36" s="9">
        <v>0</v>
      </c>
      <c r="E36" s="9"/>
      <c r="F36" s="9"/>
      <c r="G36" s="9"/>
      <c r="H36" s="9"/>
      <c r="I36" s="9"/>
      <c r="J36" s="9"/>
      <c r="K36" s="5">
        <f>C36+D36+E36+F36+G36+H36+I36+J36</f>
        <v>0</v>
      </c>
      <c r="L36" s="12">
        <f>K36/60</f>
        <v>0</v>
      </c>
    </row>
    <row r="37" ht="18" spans="1:12">
      <c r="A37" s="5">
        <v>35</v>
      </c>
      <c r="B37" s="11" t="s">
        <v>38</v>
      </c>
      <c r="C37" s="11"/>
      <c r="D37" s="11"/>
      <c r="E37" s="11"/>
      <c r="F37" s="11"/>
      <c r="G37" s="11"/>
      <c r="H37" s="11"/>
      <c r="I37" s="11"/>
      <c r="J37" s="11"/>
      <c r="K37" s="5">
        <f>C37+D37+E37+F37+G37+H37+I37+J37</f>
        <v>0</v>
      </c>
      <c r="L37" s="12">
        <f>K37/60</f>
        <v>0</v>
      </c>
    </row>
    <row r="38" ht="18" spans="1:1">
      <c r="A38" s="5">
        <v>36</v>
      </c>
    </row>
    <row r="39" spans="12:13">
      <c r="L39" s="13">
        <f>SUM(L3:L37)</f>
        <v>24.3</v>
      </c>
      <c r="M39" s="4">
        <f>L39/36</f>
        <v>0.675</v>
      </c>
    </row>
  </sheetData>
  <mergeCells count="1">
    <mergeCell ref="A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Ozodbek Mirgasimov</cp:lastModifiedBy>
  <dcterms:created xsi:type="dcterms:W3CDTF">2015-06-05T18:19:00Z</dcterms:created>
  <dcterms:modified xsi:type="dcterms:W3CDTF">2026-04-02T05:34:29Z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D13BBBFE7A434BC6A42193E317179E1D_12</vt:lpwstr>
  </property>
  <property fmtid="{D5CDD505-2E9C-101B-9397-08002B2CF9AE}" pid="3" name="KSOProductBuildVer">
    <vt:lpwstr>1033-12.2.0.23196</vt:lpwstr>
  </property>
</Properties>
</file>