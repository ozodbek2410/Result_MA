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360" windowHeight="7500"/>
  </bookViews>
  <sheets>
    <sheet name="Fevral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<sst xmlns="http://schemas.openxmlformats.org/spreadsheetml/2006/main" count="39" uniqueCount="39">
  <si>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Iqtisod 8-A guruh</t>
  </si>
  <si>
    <t>Test 1</t>
  </si>
  <si>
    <t xml:space="preserve">Test 2 </t>
  </si>
  <si>
    <t>test 3</t>
  </si>
  <si>
    <t>test 4</t>
  </si>
  <si>
    <t>test5</t>
  </si>
  <si>
    <t>Blok test</t>
  </si>
  <si>
    <t>Jami</t>
  </si>
  <si>
    <t>Foiz</t>
  </si>
  <si>
    <t>Abdurahmonov Muhammadali</t>
  </si>
  <si>
    <t>Shomurodov Ulug`bek</t>
  </si>
  <si>
    <t>Murodov Muhammadali</t>
  </si>
  <si>
    <t>Sattorov Akromjon</t>
  </si>
  <si>
    <t>O`tkirov Botir</t>
  </si>
  <si>
    <t>Husenov Sevinchbek</t>
  </si>
  <si>
    <t>Sohibova Shohzodabegim</t>
  </si>
  <si>
    <t xml:space="preserve">Teshayeva Kumush </t>
  </si>
  <si>
    <t>Ibodullayev Ulug'bek</t>
  </si>
  <si>
    <t>Boltayev Asliddin</t>
  </si>
  <si>
    <t>Buranov Timur</t>
  </si>
  <si>
    <t>Sadulloyev Sanjar</t>
  </si>
  <si>
    <t>Avezova Marhabo</t>
  </si>
  <si>
    <t>Muhammadov Azizbek</t>
  </si>
  <si>
    <t>To'rayev Safarbek</t>
  </si>
  <si>
    <t>Nutfullayeva Shabnam</t>
  </si>
  <si>
    <t>Saidova Sarvinoz</t>
  </si>
  <si>
    <t>Erkinov Elyor</t>
  </si>
  <si>
    <t>Muhammadov Muhammadsolih</t>
  </si>
  <si>
    <t>Ismoilov Muhammadali</t>
  </si>
  <si>
    <t>Yo'ldoshev Ulug'bek</t>
  </si>
  <si>
    <t>Ismatov Yodgorbek</t>
  </si>
  <si>
    <t>To'ymurodov Behruz</t>
  </si>
  <si>
    <t>Jo`rayev Umidjon</t>
  </si>
  <si>
    <t>Zaripov Behruz</t>
  </si>
  <si>
    <t>Shuhratov Aslonjon</t>
  </si>
  <si>
    <t>Hakimova Madina</t>
  </si>
  <si>
    <t>Abdurahmonova Hilola</t>
  </si>
  <si>
    <t>Sayfullayev Javohir</t>
  </si>
  <si>
    <t>Ismatov Hayotjon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</si>
</sst>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14"/>
      <name val="Calibri"/>
      <charset val="134"/>
      <scheme val="minor"/>
    </font>
    <font>
      <sz val="14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8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3" fillId="10" borderId="6" applyNumberFormat="0" applyAlignment="0" applyProtection="0">
      <alignment vertical="center"/>
    </xf>
    <xf numFmtId="0" fontId="14" fillId="10" borderId="5" applyNumberFormat="0" applyAlignment="0" applyProtection="0">
      <alignment vertical="center"/>
    </xf>
    <xf numFmtId="0" fontId="15" fillId="11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9" fontId="1" fillId="2" borderId="1" xfId="0" applyNumberFormat="1" applyFont="1" applyFill="1" applyBorder="1" applyAlignment="1">
      <alignment horizontal="center" vertical="center"/>
    </xf>
    <xf numFmtId="10" fontId="1" fillId="2" borderId="1" xfId="3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2"/>
  <sheetViews>
    <sheetView tabSelected="1" topLeftCell="A6" workbookViewId="0">
      <selection activeCell="N36" sqref="N36"/>
    </sheetView>
  </sheetViews>
  <sheetFormatPr defaultColWidth="9" defaultRowHeight="15"/>
  <cols>
    <col min="1" max="1" width="9.28571428571429" customWidth="1"/>
    <col min="2" max="2" width="37.4285714285714" customWidth="1"/>
    <col min="3" max="3" width="7.85714285714286" customWidth="1"/>
    <col min="4" max="4" width="8.42857142857143" customWidth="1"/>
    <col min="5" max="7" width="7.42857142857143" customWidth="1"/>
    <col min="8" max="8" width="10.7142857142857" customWidth="1"/>
    <col min="9" max="9" width="6.14285714285714" customWidth="1"/>
    <col min="10" max="10" width="11.5714285714286" customWidth="1"/>
  </cols>
  <sheetData>
    <row r="1" ht="18.75" spans="1:10">
      <c r="A1" s="1" t="s">
        <v>0</v>
      </c>
      <c r="B1" s="1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ht="18.75" spans="1:10">
      <c r="A2" s="1"/>
      <c r="B2" s="1"/>
      <c r="C2" s="2">
        <v>50</v>
      </c>
      <c r="D2" s="2">
        <v>40</v>
      </c>
      <c r="E2" s="2"/>
      <c r="F2" s="2"/>
      <c r="G2" s="2"/>
      <c r="H2" s="2"/>
      <c r="I2" s="2">
        <f t="shared" ref="I2" si="0">SUM(C2:H2)</f>
        <v>90</v>
      </c>
      <c r="J2" s="8">
        <v>1</v>
      </c>
    </row>
    <row r="3" ht="18.75" spans="1:10">
      <c r="A3" s="2">
        <v>1</v>
      </c>
      <c r="B3" s="3" t="s">
        <v>9</v>
      </c>
      <c r="C3" s="3">
        <v>48</v>
      </c>
      <c r="D3" s="3">
        <v>37</v>
      </c>
      <c r="E3" s="3"/>
      <c r="F3" s="3"/>
      <c r="G3" s="3"/>
      <c r="H3" s="3"/>
      <c r="I3" s="3">
        <f t="shared" ref="I3:I32" si="1">SUM(C3:H3)</f>
        <v>85</v>
      </c>
      <c r="J3" s="9">
        <f t="shared" ref="J3:J32" si="2">I3/90</f>
        <v>0.944444444444444</v>
      </c>
    </row>
    <row r="4" ht="18.75" spans="1:10">
      <c r="A4" s="2">
        <v>2</v>
      </c>
      <c r="B4" s="3" t="s">
        <v>10</v>
      </c>
      <c r="C4" s="3">
        <v>46</v>
      </c>
      <c r="D4" s="3">
        <v>38</v>
      </c>
      <c r="E4" s="3"/>
      <c r="F4" s="3"/>
      <c r="G4" s="3"/>
      <c r="H4" s="3"/>
      <c r="I4" s="3">
        <f t="shared" si="1"/>
        <v>84</v>
      </c>
      <c r="J4" s="9">
        <f t="shared" si="2"/>
        <v>0.933333333333333</v>
      </c>
    </row>
    <row r="5" ht="18.75" spans="1:10">
      <c r="A5" s="2">
        <v>3</v>
      </c>
      <c r="B5" s="3" t="s">
        <v>11</v>
      </c>
      <c r="C5" s="3">
        <v>48</v>
      </c>
      <c r="D5" s="3">
        <v>34</v>
      </c>
      <c r="E5" s="3"/>
      <c r="F5" s="3"/>
      <c r="G5" s="3"/>
      <c r="H5" s="3"/>
      <c r="I5" s="3">
        <f t="shared" si="1"/>
        <v>82</v>
      </c>
      <c r="J5" s="9">
        <f t="shared" si="2"/>
        <v>0.911111111111111</v>
      </c>
    </row>
    <row r="6" ht="18.75" spans="1:10">
      <c r="A6" s="2">
        <v>4</v>
      </c>
      <c r="B6" s="3" t="s">
        <v>12</v>
      </c>
      <c r="C6" s="3">
        <v>46</v>
      </c>
      <c r="D6" s="3">
        <v>35</v>
      </c>
      <c r="E6" s="3"/>
      <c r="F6" s="3"/>
      <c r="G6" s="3"/>
      <c r="H6" s="3"/>
      <c r="I6" s="3">
        <f t="shared" si="1"/>
        <v>81</v>
      </c>
      <c r="J6" s="9">
        <f t="shared" si="2"/>
        <v>0.9</v>
      </c>
    </row>
    <row r="7" ht="18.75" spans="1:10">
      <c r="A7" s="2">
        <v>5</v>
      </c>
      <c r="B7" s="3" t="s">
        <v>13</v>
      </c>
      <c r="C7" s="3">
        <v>45</v>
      </c>
      <c r="D7" s="3">
        <v>34</v>
      </c>
      <c r="E7" s="3"/>
      <c r="F7" s="3"/>
      <c r="G7" s="3"/>
      <c r="H7" s="3"/>
      <c r="I7" s="3">
        <f t="shared" si="1"/>
        <v>79</v>
      </c>
      <c r="J7" s="9">
        <f t="shared" si="2"/>
        <v>0.877777777777778</v>
      </c>
    </row>
    <row r="8" ht="18.75" spans="1:10">
      <c r="A8" s="2">
        <v>6</v>
      </c>
      <c r="B8" s="3" t="s">
        <v>14</v>
      </c>
      <c r="C8" s="3">
        <v>44</v>
      </c>
      <c r="D8" s="3">
        <v>35</v>
      </c>
      <c r="E8" s="3"/>
      <c r="F8" s="3"/>
      <c r="G8" s="3"/>
      <c r="H8" s="3"/>
      <c r="I8" s="3">
        <f t="shared" si="1"/>
        <v>79</v>
      </c>
      <c r="J8" s="9">
        <f t="shared" si="2"/>
        <v>0.877777777777778</v>
      </c>
    </row>
    <row r="9" ht="18.75" spans="1:10">
      <c r="A9" s="2">
        <v>7</v>
      </c>
      <c r="B9" s="3" t="s">
        <v>15</v>
      </c>
      <c r="C9" s="3">
        <v>44</v>
      </c>
      <c r="D9" s="3">
        <v>34</v>
      </c>
      <c r="E9" s="3"/>
      <c r="F9" s="3"/>
      <c r="G9" s="3"/>
      <c r="H9" s="3"/>
      <c r="I9" s="3">
        <f t="shared" si="1"/>
        <v>78</v>
      </c>
      <c r="J9" s="9">
        <f t="shared" si="2"/>
        <v>0.866666666666667</v>
      </c>
    </row>
    <row r="10" ht="18.75" spans="1:10">
      <c r="A10" s="2">
        <v>8</v>
      </c>
      <c r="B10" s="4" t="s">
        <v>16</v>
      </c>
      <c r="C10" s="4">
        <v>43</v>
      </c>
      <c r="D10" s="4">
        <v>34</v>
      </c>
      <c r="E10" s="4"/>
      <c r="F10" s="4"/>
      <c r="G10" s="4"/>
      <c r="H10" s="4"/>
      <c r="I10" s="4">
        <f t="shared" si="1"/>
        <v>77</v>
      </c>
      <c r="J10" s="9">
        <f t="shared" si="2"/>
        <v>0.855555555555556</v>
      </c>
    </row>
    <row r="11" ht="18.75" spans="1:10">
      <c r="A11" s="2">
        <v>9</v>
      </c>
      <c r="B11" s="4" t="s">
        <v>17</v>
      </c>
      <c r="C11" s="4">
        <v>42</v>
      </c>
      <c r="D11" s="4">
        <v>32</v>
      </c>
      <c r="E11" s="4"/>
      <c r="F11" s="4"/>
      <c r="G11" s="4"/>
      <c r="H11" s="4"/>
      <c r="I11" s="4">
        <f t="shared" si="1"/>
        <v>74</v>
      </c>
      <c r="J11" s="9">
        <f t="shared" si="2"/>
        <v>0.822222222222222</v>
      </c>
    </row>
    <row r="12" ht="18.75" spans="1:10">
      <c r="A12" s="2">
        <v>10</v>
      </c>
      <c r="B12" s="4" t="s">
        <v>18</v>
      </c>
      <c r="C12" s="4">
        <v>40</v>
      </c>
      <c r="D12" s="4">
        <v>34</v>
      </c>
      <c r="E12" s="4"/>
      <c r="F12" s="4"/>
      <c r="G12" s="4"/>
      <c r="H12" s="4"/>
      <c r="I12" s="4">
        <f t="shared" si="1"/>
        <v>74</v>
      </c>
      <c r="J12" s="9">
        <f t="shared" si="2"/>
        <v>0.822222222222222</v>
      </c>
    </row>
    <row r="13" ht="18.75" spans="1:10">
      <c r="A13" s="2">
        <v>11</v>
      </c>
      <c r="B13" s="4" t="s">
        <v>19</v>
      </c>
      <c r="C13" s="4">
        <v>42</v>
      </c>
      <c r="D13" s="4">
        <v>30</v>
      </c>
      <c r="E13" s="4"/>
      <c r="F13" s="4"/>
      <c r="G13" s="4"/>
      <c r="H13" s="4"/>
      <c r="I13" s="4">
        <f t="shared" si="1"/>
        <v>72</v>
      </c>
      <c r="J13" s="9">
        <f t="shared" si="2"/>
        <v>0.8</v>
      </c>
    </row>
    <row r="14" ht="18.75" spans="1:10">
      <c r="A14" s="2">
        <v>12</v>
      </c>
      <c r="B14" s="4" t="s">
        <v>20</v>
      </c>
      <c r="C14" s="4">
        <v>42</v>
      </c>
      <c r="D14" s="4">
        <v>29</v>
      </c>
      <c r="E14" s="4"/>
      <c r="F14" s="4"/>
      <c r="G14" s="4"/>
      <c r="H14" s="4"/>
      <c r="I14" s="4">
        <f t="shared" si="1"/>
        <v>71</v>
      </c>
      <c r="J14" s="9">
        <f t="shared" si="2"/>
        <v>0.788888888888889</v>
      </c>
    </row>
    <row r="15" ht="18.75" spans="1:10">
      <c r="A15" s="2">
        <v>13</v>
      </c>
      <c r="B15" s="4" t="s">
        <v>21</v>
      </c>
      <c r="C15" s="4">
        <v>38</v>
      </c>
      <c r="D15" s="4">
        <v>30</v>
      </c>
      <c r="E15" s="4"/>
      <c r="F15" s="4"/>
      <c r="G15" s="4"/>
      <c r="H15" s="4"/>
      <c r="I15" s="4">
        <f t="shared" si="1"/>
        <v>68</v>
      </c>
      <c r="J15" s="9">
        <f t="shared" si="2"/>
        <v>0.755555555555556</v>
      </c>
    </row>
    <row r="16" ht="18.75" spans="1:10">
      <c r="A16" s="2">
        <v>14</v>
      </c>
      <c r="B16" s="4" t="s">
        <v>22</v>
      </c>
      <c r="C16" s="4">
        <v>26</v>
      </c>
      <c r="D16" s="4">
        <v>38</v>
      </c>
      <c r="E16" s="4"/>
      <c r="F16" s="4"/>
      <c r="G16" s="4"/>
      <c r="H16" s="4"/>
      <c r="I16" s="4">
        <f t="shared" si="1"/>
        <v>64</v>
      </c>
      <c r="J16" s="9">
        <f t="shared" si="2"/>
        <v>0.711111111111111</v>
      </c>
    </row>
    <row r="17" ht="18.75" spans="1:10">
      <c r="A17" s="2">
        <v>15</v>
      </c>
      <c r="B17" s="5" t="s">
        <v>23</v>
      </c>
      <c r="C17" s="5">
        <v>36</v>
      </c>
      <c r="D17" s="5">
        <v>27</v>
      </c>
      <c r="E17" s="5"/>
      <c r="F17" s="5"/>
      <c r="G17" s="5"/>
      <c r="H17" s="5"/>
      <c r="I17" s="5">
        <f t="shared" si="1"/>
        <v>63</v>
      </c>
      <c r="J17" s="9">
        <f t="shared" si="2"/>
        <v>0.7</v>
      </c>
    </row>
    <row r="18" ht="18.75" spans="1:10">
      <c r="A18" s="2">
        <v>16</v>
      </c>
      <c r="B18" s="5" t="s">
        <v>24</v>
      </c>
      <c r="C18" s="5">
        <v>31</v>
      </c>
      <c r="D18" s="5">
        <v>27</v>
      </c>
      <c r="E18" s="5"/>
      <c r="F18" s="5"/>
      <c r="G18" s="5"/>
      <c r="H18" s="5"/>
      <c r="I18" s="5">
        <f t="shared" si="1"/>
        <v>58</v>
      </c>
      <c r="J18" s="9">
        <f t="shared" si="2"/>
        <v>0.644444444444444</v>
      </c>
    </row>
    <row r="19" ht="18.75" spans="1:10">
      <c r="A19" s="2">
        <v>17</v>
      </c>
      <c r="B19" s="5" t="s">
        <v>25</v>
      </c>
      <c r="C19" s="5">
        <v>31</v>
      </c>
      <c r="D19" s="5">
        <v>26</v>
      </c>
      <c r="E19" s="5"/>
      <c r="F19" s="5"/>
      <c r="G19" s="5"/>
      <c r="H19" s="5"/>
      <c r="I19" s="5">
        <f t="shared" si="1"/>
        <v>57</v>
      </c>
      <c r="J19" s="9">
        <f t="shared" si="2"/>
        <v>0.633333333333333</v>
      </c>
    </row>
    <row r="20" ht="18.75" spans="1:10">
      <c r="A20" s="2">
        <v>18</v>
      </c>
      <c r="B20" s="5" t="s">
        <v>26</v>
      </c>
      <c r="C20" s="5">
        <v>31</v>
      </c>
      <c r="D20" s="5">
        <v>20</v>
      </c>
      <c r="E20" s="5"/>
      <c r="F20" s="5"/>
      <c r="G20" s="5"/>
      <c r="H20" s="5"/>
      <c r="I20" s="5">
        <f t="shared" si="1"/>
        <v>51</v>
      </c>
      <c r="J20" s="9">
        <f t="shared" si="2"/>
        <v>0.566666666666667</v>
      </c>
    </row>
    <row r="21" ht="18.75" spans="1:10">
      <c r="A21" s="2">
        <v>19</v>
      </c>
      <c r="B21" s="5" t="s">
        <v>27</v>
      </c>
      <c r="C21" s="5">
        <v>27</v>
      </c>
      <c r="D21" s="5">
        <v>24</v>
      </c>
      <c r="E21" s="5"/>
      <c r="F21" s="5"/>
      <c r="G21" s="5"/>
      <c r="H21" s="5"/>
      <c r="I21" s="5">
        <f t="shared" si="1"/>
        <v>51</v>
      </c>
      <c r="J21" s="9">
        <f t="shared" si="2"/>
        <v>0.566666666666667</v>
      </c>
    </row>
    <row r="22" ht="18.75" spans="1:10">
      <c r="A22" s="2">
        <v>20</v>
      </c>
      <c r="B22" s="5" t="s">
        <v>28</v>
      </c>
      <c r="C22" s="5">
        <v>22</v>
      </c>
      <c r="D22" s="5">
        <v>28</v>
      </c>
      <c r="E22" s="5"/>
      <c r="F22" s="5"/>
      <c r="G22" s="5"/>
      <c r="H22" s="5"/>
      <c r="I22" s="5">
        <f t="shared" si="1"/>
        <v>50</v>
      </c>
      <c r="J22" s="9">
        <f t="shared" si="2"/>
        <v>0.555555555555556</v>
      </c>
    </row>
    <row r="23" ht="18.75" spans="1:10">
      <c r="A23" s="2">
        <v>21</v>
      </c>
      <c r="B23" s="6" t="s">
        <v>29</v>
      </c>
      <c r="C23" s="6">
        <v>18</v>
      </c>
      <c r="D23" s="6">
        <v>28</v>
      </c>
      <c r="E23" s="6"/>
      <c r="F23" s="6"/>
      <c r="G23" s="6"/>
      <c r="H23" s="6"/>
      <c r="I23" s="6">
        <f t="shared" si="1"/>
        <v>46</v>
      </c>
      <c r="J23" s="9">
        <f t="shared" si="2"/>
        <v>0.511111111111111</v>
      </c>
    </row>
    <row r="24" ht="18.75" spans="1:10">
      <c r="A24" s="2">
        <v>22</v>
      </c>
      <c r="B24" s="6" t="s">
        <v>30</v>
      </c>
      <c r="C24" s="6">
        <v>26</v>
      </c>
      <c r="D24" s="6">
        <v>19</v>
      </c>
      <c r="E24" s="6"/>
      <c r="F24" s="6"/>
      <c r="G24" s="6"/>
      <c r="H24" s="6"/>
      <c r="I24" s="6">
        <f t="shared" si="1"/>
        <v>45</v>
      </c>
      <c r="J24" s="9">
        <f t="shared" si="2"/>
        <v>0.5</v>
      </c>
    </row>
    <row r="25" ht="18.75" spans="1:10">
      <c r="A25" s="2">
        <v>23</v>
      </c>
      <c r="B25" s="7" t="s">
        <v>31</v>
      </c>
      <c r="C25" s="7">
        <v>17</v>
      </c>
      <c r="D25" s="7">
        <v>27</v>
      </c>
      <c r="E25" s="7"/>
      <c r="F25" s="7"/>
      <c r="G25" s="7"/>
      <c r="H25" s="7"/>
      <c r="I25" s="7">
        <f t="shared" si="1"/>
        <v>44</v>
      </c>
      <c r="J25" s="9">
        <f t="shared" si="2"/>
        <v>0.488888888888889</v>
      </c>
    </row>
    <row r="26" ht="18.75" spans="1:10">
      <c r="A26" s="2">
        <v>24</v>
      </c>
      <c r="B26" s="7" t="s">
        <v>32</v>
      </c>
      <c r="C26" s="7">
        <v>23</v>
      </c>
      <c r="D26" s="7">
        <v>15</v>
      </c>
      <c r="E26" s="7"/>
      <c r="F26" s="7"/>
      <c r="G26" s="7"/>
      <c r="H26" s="7"/>
      <c r="I26" s="7">
        <f t="shared" si="1"/>
        <v>38</v>
      </c>
      <c r="J26" s="9">
        <f t="shared" si="2"/>
        <v>0.422222222222222</v>
      </c>
    </row>
    <row r="27" ht="18.75" spans="1:10">
      <c r="A27" s="2">
        <v>25</v>
      </c>
      <c r="B27" s="7" t="s">
        <v>33</v>
      </c>
      <c r="C27" s="7">
        <v>18</v>
      </c>
      <c r="D27" s="7">
        <v>20</v>
      </c>
      <c r="E27" s="7"/>
      <c r="F27" s="7"/>
      <c r="G27" s="7"/>
      <c r="H27" s="7"/>
      <c r="I27" s="7">
        <f t="shared" si="1"/>
        <v>38</v>
      </c>
      <c r="J27" s="9">
        <f t="shared" si="2"/>
        <v>0.422222222222222</v>
      </c>
    </row>
    <row r="28" ht="18.75" spans="1:10">
      <c r="A28" s="2">
        <v>26</v>
      </c>
      <c r="B28" s="7" t="s">
        <v>34</v>
      </c>
      <c r="C28" s="7">
        <v>0</v>
      </c>
      <c r="D28" s="7">
        <v>27</v>
      </c>
      <c r="E28" s="7"/>
      <c r="F28" s="7"/>
      <c r="G28" s="7"/>
      <c r="H28" s="7"/>
      <c r="I28" s="7">
        <f t="shared" si="1"/>
        <v>27</v>
      </c>
      <c r="J28" s="9">
        <f t="shared" si="2"/>
        <v>0.3</v>
      </c>
    </row>
    <row r="29" ht="18.75" spans="1:10">
      <c r="A29" s="2">
        <v>27</v>
      </c>
      <c r="B29" s="7" t="s">
        <v>35</v>
      </c>
      <c r="C29" s="7">
        <v>0</v>
      </c>
      <c r="D29" s="7">
        <v>25</v>
      </c>
      <c r="E29" s="7"/>
      <c r="F29" s="7"/>
      <c r="G29" s="7"/>
      <c r="H29" s="7"/>
      <c r="I29" s="7">
        <f t="shared" si="1"/>
        <v>25</v>
      </c>
      <c r="J29" s="9">
        <f t="shared" si="2"/>
        <v>0.277777777777778</v>
      </c>
    </row>
    <row r="30" ht="18.75" spans="1:10">
      <c r="A30" s="2">
        <v>28</v>
      </c>
      <c r="B30" s="7" t="s">
        <v>36</v>
      </c>
      <c r="C30" s="7">
        <v>0</v>
      </c>
      <c r="D30" s="7">
        <v>23</v>
      </c>
      <c r="E30" s="7"/>
      <c r="F30" s="7"/>
      <c r="G30" s="7"/>
      <c r="H30" s="7"/>
      <c r="I30" s="7">
        <f t="shared" si="1"/>
        <v>23</v>
      </c>
      <c r="J30" s="9">
        <f t="shared" si="2"/>
        <v>0.255555555555556</v>
      </c>
    </row>
    <row r="31" ht="18.75" spans="1:10">
      <c r="A31" s="2">
        <v>29</v>
      </c>
      <c r="B31" s="7" t="s">
        <v>37</v>
      </c>
      <c r="C31" s="7">
        <v>22</v>
      </c>
      <c r="D31" s="7">
        <v>0</v>
      </c>
      <c r="E31" s="7"/>
      <c r="F31" s="7"/>
      <c r="G31" s="7"/>
      <c r="H31" s="7"/>
      <c r="I31" s="7">
        <f t="shared" si="1"/>
        <v>22</v>
      </c>
      <c r="J31" s="9">
        <f t="shared" si="2"/>
        <v>0.244444444444444</v>
      </c>
    </row>
    <row r="32" ht="18.75" spans="1:10">
      <c r="A32" s="2">
        <v>30</v>
      </c>
      <c r="B32" s="7" t="s">
        <v>38</v>
      </c>
      <c r="C32" s="7">
        <v>13</v>
      </c>
      <c r="D32" s="7">
        <v>0</v>
      </c>
      <c r="E32" s="7"/>
      <c r="F32" s="7"/>
      <c r="G32" s="7"/>
      <c r="H32" s="7"/>
      <c r="I32" s="7">
        <f t="shared" si="1"/>
        <v>13</v>
      </c>
      <c r="J32" s="9">
        <f t="shared" si="2"/>
        <v>0.144444444444444</v>
      </c>
    </row>
  </sheetData>
  <sortState ref="B3:J32">
    <sortCondition ref="J3:J32" descending="1"/>
  </sortState>
  <mergeCells count="1">
    <mergeCell ref="A1:B2"/>
  </mergeCells>
  <pageMargins left="0.2" right="0.2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Fevral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ozodb</cp:lastModifiedBy>
  <dcterms:created xsi:type="dcterms:W3CDTF">2025-09-04T03:18:00Z</dcterms:created>
  <cp:lastPrinted>2025-10-31T13:35:00Z</cp:lastPrinted>
  <dcterms:modified xsi:type="dcterms:W3CDTF">2026-02-26T07:39:55Z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44346BCEB8364E02BF9244BC2B038374_12</vt:lpwstr>
  </property>
  <property fmtid="{D5CDD505-2E9C-101B-9397-08002B2CF9AE}" pid="3" name="KSOProductBuildVer">
    <vt:lpwstr>1033-12.2.0.23196</vt:lpwstr>
  </property>
</Properties>
</file>